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327bb3afa44c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19d80aec3fa9479e"/>
    <x:sheet xmlns:r="http://schemas.openxmlformats.org/officeDocument/2006/relationships" name="Assumptions" sheetId="2" r:id="R02883903851343ed"/>
    <x:sheet xmlns:r="http://schemas.openxmlformats.org/officeDocument/2006/relationships" name="Historicals" sheetId="3" r:id="R17dce514ceff40f0"/>
    <x:sheet xmlns:r="http://schemas.openxmlformats.org/officeDocument/2006/relationships" name="Revenue Build" sheetId="4" r:id="Rbb54386043b34ca2"/>
    <x:sheet xmlns:r="http://schemas.openxmlformats.org/officeDocument/2006/relationships" name="Operating Model" sheetId="5" r:id="R718071fbc36d43d7"/>
    <x:sheet xmlns:r="http://schemas.openxmlformats.org/officeDocument/2006/relationships" name="Schedules" sheetId="6" r:id="R55486cd5326440bf"/>
    <x:sheet xmlns:r="http://schemas.openxmlformats.org/officeDocument/2006/relationships" name="Three Statements" sheetId="7" r:id="R379a6d0c90794b43"/>
    <x:sheet xmlns:r="http://schemas.openxmlformats.org/officeDocument/2006/relationships" name="Scenarios" sheetId="8" r:id="R048c0052642244dc"/>
    <x:sheet xmlns:r="http://schemas.openxmlformats.org/officeDocument/2006/relationships" name="Dashboard" sheetId="9" r:id="R0a46a10bbf2a40f0"/>
    <x:sheet xmlns:r="http://schemas.openxmlformats.org/officeDocument/2006/relationships" name="Checks" sheetId="10" r:id="R5bfecbeb24124e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;(0.0%);-"/>
    <x:numFmt numFmtId="201" formatCode="#,##0;(#,##0);-"/>
    <x:numFmt numFmtId="202" formatCode="0.0"/>
    <x:numFmt numFmtId="203" formatCode="0.0x"/>
    <x:numFmt numFmtId="204" formatCode=";;;"/>
  </x:numFmts>
  <x:fonts count="16">
    <x:font>
      <x:sz val="11"/>
      <x:name val="Carlito"/>
    </x:font>
    <x:font>
      <x:sz val="10"/>
      <x:color rgb="FF222222"/>
      <x:name val="Arial"/>
    </x:font>
    <x:font>
      <x:b/>
      <x:sz val="16"/>
      <x:color rgb="FF17365D"/>
      <x:name val="Arial"/>
    </x:font>
    <x:font>
      <x:i/>
      <x:sz val="9"/>
      <x:color rgb="FF666666"/>
      <x:name val="Arial"/>
    </x:font>
    <x:font>
      <x:b/>
      <x:sz val="10"/>
      <x:color rgb="FFFFFFFF"/>
      <x:name val="Arial"/>
    </x:font>
    <x:font>
      <x:b/>
      <x:sz val="10"/>
      <x:color rgb="FF222222"/>
      <x:name val="Arial"/>
    </x:font>
    <x:font>
      <x:sz val="9"/>
      <x:color rgb="FF555555"/>
      <x:name val="Arial"/>
    </x:font>
    <x:font>
      <x:b/>
      <x:sz val="12"/>
      <x:color rgb="FF008000"/>
      <x:name val="Arial"/>
    </x:font>
    <x:font>
      <x:b/>
      <x:sz val="10"/>
      <x:color rgb="FF0000FF"/>
      <x:name val="Arial"/>
    </x:font>
    <x:font>
      <x:b/>
      <x:sz val="9"/>
      <x:color rgb="FFFFFFFF"/>
      <x:name val="Arial"/>
    </x:font>
    <x:font>
      <x:sz val="9"/>
      <x:color rgb="FF666666"/>
      <x:name val="Arial"/>
    </x:font>
    <x:font>
      <x:sz val="10"/>
      <x:color rgb="FF008000"/>
      <x:name val="Arial"/>
    </x:font>
    <x:font>
      <x:b/>
      <x:sz val="10"/>
      <x:color rgb="FF008000"/>
      <x:name val="Arial"/>
    </x:font>
    <x:font>
      <x:b/>
      <x:sz val="11"/>
      <x:color rgb="FF17365D"/>
      <x:name val="Arial"/>
    </x:font>
    <x:font>
      <x:sz val="1"/>
      <x:color rgb="FFFFFFFF"/>
      <x:name val="Arial"/>
    </x:font>
    <x:font>
      <x:b/>
      <x:sz val="12"/>
      <x:color rgb="FF17365D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59595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5">
    <x:border/>
    <x:border>
      <x:bottom style="thin">
        <x:color rgb="FF17365D"/>
      </x:bottom>
    </x:border>
    <x:border>
      <x:left style="medium">
        <x:color rgb="FF1F4E78"/>
      </x:left>
    </x:border>
    <x:border>
      <x:top style="thin">
        <x:color rgb="FF777777"/>
      </x:top>
    </x:border>
    <x:border>
      <x:left style="medium">
        <x:color rgb="FF1F4E78"/>
      </x:left>
      <x:top style="thin">
        <x:color rgb="FF777777"/>
      </x:top>
    </x:border>
  </x:borders>
  <x:cellStyleXfs count="1">
    <x:xf numFmtId="0" fontId="0" fillId="0" borderId="0"/>
  </x:cellStyleXfs>
  <x:cellXfs count="1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/>
    </x:xf>
    <x:xf numFmtId="0" fontId="1" fillId="0" borderId="2" xfId="0" applyNumberFormat="1" applyFont="1" applyFill="1" applyBorder="1"/>
    <x:xf numFmtId="0" fontId="1" fillId="5" borderId="0" xfId="0" applyNumberFormat="1" applyFont="1" applyFill="1" applyBorder="1"/>
    <x:xf numFmtId="0" fontId="8" fillId="5" borderId="0" xfId="0" applyNumberFormat="1" applyFont="1" applyFill="1" applyBorder="1"/>
    <x:xf numFmtId="0" fontId="1" fillId="2" borderId="2" xfId="0" applyNumberFormat="1" applyFont="1" applyFill="1" applyBorder="1"/>
    <x:xf numFmtId="0" fontId="4" fillId="2" borderId="2" xfId="0" applyNumberFormat="1" applyFont="1" applyFill="1" applyBorder="1"/>
    <x:xf numFmtId="0" fontId="1" fillId="3" borderId="2" xfId="0" applyNumberFormat="1" applyFont="1" applyFill="1" applyBorder="1"/>
    <x:xf numFmtId="0" fontId="9" fillId="3" borderId="2" xfId="0" applyNumberFormat="1" applyFont="1" applyFill="1" applyBorder="1"/>
    <x:xf numFmtId="0" fontId="9" fillId="3" borderId="0" xfId="0" applyNumberFormat="1" applyFont="1" applyFill="1" applyBorder="1"/>
    <x:xf numFmtId="0" fontId="10" fillId="0" borderId="0" xfId="0" applyNumberFormat="1" applyFont="1" applyFill="1" applyBorder="1"/>
    <x:xf numFmtId="0" fontId="11" fillId="0" borderId="2" xfId="0" applyNumberFormat="1" applyFont="1" applyFill="1" applyBorder="1"/>
    <x:xf numFmtId="0" fontId="11" fillId="0" borderId="0" xfId="0" applyNumberFormat="1" applyFont="1" applyFill="1" applyBorder="1"/>
    <x:xf numFmtId="0" fontId="11" fillId="6" borderId="2" xfId="0" applyNumberFormat="1" applyFont="1" applyFill="1" applyBorder="1"/>
    <x:xf numFmtId="0" fontId="11" fillId="6" borderId="0" xfId="0" applyNumberFormat="1" applyFont="1" applyFill="1" applyBorder="1"/>
    <x:xf numFmtId="0" fontId="1" fillId="6" borderId="2" xfId="0" applyNumberFormat="1" applyFont="1" applyFill="1" applyBorder="1"/>
    <x:xf numFmtId="0" fontId="1" fillId="6" borderId="0" xfId="0" applyNumberFormat="1" applyFont="1" applyFill="1" applyBorder="1"/>
    <x:xf numFmtId="200" fontId="11" fillId="6" borderId="2" xfId="0" applyNumberFormat="1" applyFont="1" applyFill="1" applyBorder="1"/>
    <x:xf numFmtId="200" fontId="11" fillId="6" borderId="0" xfId="0" applyNumberFormat="1" applyFont="1" applyFill="1" applyBorder="1"/>
    <x:xf numFmtId="200" fontId="1" fillId="0" borderId="2" xfId="0" applyNumberFormat="1" applyFont="1" applyFill="1" applyBorder="1"/>
    <x:xf numFmtId="200" fontId="1" fillId="0" borderId="0" xfId="0" applyNumberFormat="1" applyFont="1" applyFill="1" applyBorder="1"/>
    <x:xf numFmtId="200" fontId="4" fillId="2" borderId="2" xfId="0" applyNumberFormat="1" applyFont="1" applyFill="1" applyBorder="1"/>
    <x:xf numFmtId="200" fontId="4" fillId="2" borderId="0" xfId="0" applyNumberFormat="1" applyFont="1" applyFill="1" applyBorder="1"/>
    <x:xf numFmtId="200" fontId="9" fillId="3" borderId="2" xfId="0" applyNumberFormat="1" applyFont="1" applyFill="1" applyBorder="1"/>
    <x:xf numFmtId="200" fontId="9" fillId="3" borderId="0" xfId="0" applyNumberFormat="1" applyFont="1" applyFill="1" applyBorder="1"/>
    <x:xf numFmtId="200" fontId="0" fillId="0" borderId="0" xfId="0" applyNumberFormat="1" applyFont="1" applyFill="1" applyBorder="1"/>
    <x:xf numFmtId="201" fontId="11" fillId="6" borderId="2" xfId="0" applyNumberFormat="1" applyFont="1" applyFill="1" applyBorder="1"/>
    <x:xf numFmtId="201" fontId="11" fillId="6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1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201" fontId="5" fillId="0" borderId="3" xfId="0" applyNumberFormat="1" applyFont="1" applyFill="1" applyBorder="1"/>
    <x:xf numFmtId="0" fontId="5" fillId="0" borderId="4" xfId="0" applyNumberFormat="1" applyFont="1" applyFill="1" applyBorder="1"/>
    <x:xf numFmtId="201" fontId="1" fillId="0" borderId="2" xfId="0" applyNumberFormat="1" applyFont="1" applyFill="1" applyBorder="1"/>
    <x:xf numFmtId="201" fontId="5" fillId="0" borderId="4" xfId="0" applyNumberFormat="1" applyFont="1" applyFill="1" applyBorder="1"/>
    <x:xf numFmtId="201" fontId="11" fillId="0" borderId="2" xfId="0" applyNumberFormat="1" applyFont="1" applyFill="1" applyBorder="1"/>
    <x:xf numFmtId="201" fontId="11" fillId="0" borderId="0" xfId="0" applyNumberFormat="1" applyFont="1" applyFill="1" applyBorder="1"/>
    <x:xf numFmtId="202" fontId="1" fillId="0" borderId="2" xfId="0" applyNumberFormat="1" applyFont="1" applyFill="1" applyBorder="1"/>
    <x:xf numFmtId="201" fontId="5" fillId="0" borderId="2" xfId="0" applyNumberFormat="1" applyFont="1" applyFill="1" applyBorder="1"/>
    <x:xf numFmtId="201" fontId="12" fillId="0" borderId="4" xfId="0" applyNumberFormat="1" applyFont="1" applyFill="1" applyBorder="1"/>
    <x:xf numFmtId="201" fontId="12" fillId="0" borderId="3" xfId="0" applyNumberFormat="1" applyFont="1" applyFill="1" applyBorder="1"/>
    <x:xf numFmtId="202" fontId="11" fillId="0" borderId="2" xfId="0" applyNumberFormat="1" applyFont="1" applyFill="1" applyBorder="1"/>
    <x:xf numFmtId="202" fontId="11" fillId="0" borderId="0" xfId="0" applyNumberFormat="1" applyFont="1" applyFill="1" applyBorder="1"/>
    <x:xf numFmtId="0" fontId="12" fillId="2" borderId="2" xfId="0" applyNumberFormat="1" applyFont="1" applyFill="1" applyBorder="1"/>
    <x:xf numFmtId="0" fontId="12" fillId="2" borderId="0" xfId="0" applyNumberFormat="1" applyFont="1" applyFill="1" applyBorder="1"/>
    <x:xf numFmtId="203" fontId="1" fillId="0" borderId="0" xfId="0" applyNumberFormat="1" applyFont="1" applyFill="1" applyBorder="1"/>
    <x:xf numFmtId="203" fontId="1" fillId="0" borderId="2" xfId="0" applyNumberFormat="1" applyFont="1" applyFill="1" applyBorder="1"/>
    <x:xf numFmtId="200" fontId="11" fillId="0" borderId="2" xfId="0" applyNumberFormat="1" applyFont="1" applyFill="1" applyBorder="1"/>
    <x:xf numFmtId="200" fontId="11" fillId="0" borderId="0" xfId="0" applyNumberFormat="1" applyFont="1" applyFill="1" applyBorder="1"/>
    <x:xf numFmtId="203" fontId="11" fillId="0" borderId="2" xfId="0" applyNumberFormat="1" applyFont="1" applyFill="1" applyBorder="1"/>
    <x:xf numFmtId="203" fontId="11" fillId="0" borderId="0" xfId="0" applyNumberFormat="1" applyFont="1" applyFill="1" applyBorder="1"/>
    <x:xf numFmtId="0" fontId="13" fillId="0" borderId="0" xfId="0" applyNumberFormat="1" applyFont="1" applyFill="1" applyBorder="1"/>
    <x:xf numFmtId="204" fontId="0" fillId="0" borderId="0" xfId="0" applyNumberFormat="1" applyFont="1" applyFill="1" applyBorder="1"/>
    <x:xf numFmtId="204" fontId="14" fillId="0" borderId="0" xfId="0" applyNumberFormat="1" applyFont="1" applyFill="1" applyBorder="1"/>
    <x:xf numFmtId="0" fontId="15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200" fontId="11" fillId="6" borderId="2" xfId="0" applyNumberFormat="1" applyFont="1" applyFill="1" applyBorder="1" applyAlignment="1">
      <x:alignment vertical="center"/>
    </x:xf>
    <x:xf numFmtId="200" fontId="11" fillId="6" borderId="0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4" fillId="2" borderId="2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0" fontId="9" fillId="3" borderId="2" xfId="0" applyNumberFormat="1" applyFont="1" applyFill="1" applyBorder="1" applyAlignment="1">
      <x:alignment vertical="center"/>
    </x:xf>
    <x:xf numFmtId="200" fontId="9" fillId="3" borderId="0" xfId="0" applyNumberFormat="1" applyFont="1" applyFill="1" applyBorder="1" applyAlignment="1">
      <x:alignment vertical="center"/>
    </x:xf>
    <x:xf numFmtId="201" fontId="11" fillId="6" borderId="2" xfId="0" applyNumberFormat="1" applyFont="1" applyFill="1" applyBorder="1" applyAlignment="1">
      <x:alignment vertical="center"/>
    </x:xf>
    <x:xf numFmtId="201" fontId="11" fillId="6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201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1" fillId="0" borderId="2" xfId="0" applyNumberFormat="1" applyFont="1" applyFill="1" applyBorder="1" applyAlignment="1">
      <x:alignment vertical="center"/>
    </x:xf>
    <x:xf numFmtId="201" fontId="11" fillId="0" borderId="0" xfId="0" applyNumberFormat="1" applyFont="1" applyFill="1" applyBorder="1" applyAlignment="1">
      <x:alignment vertical="center"/>
    </x:xf>
    <x:xf numFmtId="201" fontId="5" fillId="0" borderId="4" xfId="0" applyNumberFormat="1" applyFont="1" applyFill="1" applyBorder="1" applyAlignment="1">
      <x:alignment vertical="center"/>
    </x:xf>
    <x:xf numFmtId="201" fontId="12" fillId="0" borderId="4" xfId="0" applyNumberFormat="1" applyFont="1" applyFill="1" applyBorder="1" applyAlignment="1">
      <x:alignment vertical="center"/>
    </x:xf>
    <x:xf numFmtId="201" fontId="12" fillId="0" borderId="3" xfId="0" applyNumberFormat="1" applyFont="1" applyFill="1" applyBorder="1" applyAlignment="1">
      <x:alignment vertical="center"/>
    </x:xf>
    <x:xf numFmtId="202" fontId="11" fillId="0" borderId="2" xfId="0" applyNumberFormat="1" applyFont="1" applyFill="1" applyBorder="1" applyAlignment="1">
      <x:alignment vertical="center"/>
    </x:xf>
    <x:xf numFmtId="202" fontId="11" fillId="0" borderId="0" xfId="0" applyNumberFormat="1" applyFont="1" applyFill="1" applyBorder="1" applyAlignment="1">
      <x:alignment vertical="center"/>
    </x:xf>
    <x:xf numFmtId="0" fontId="11" fillId="0" borderId="2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2" fillId="2" borderId="2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 applyAlignment="1">
      <x:alignment vertical="center"/>
    </x:xf>
    <x:xf numFmtId="200" fontId="11" fillId="0" borderId="2" xfId="0" applyNumberFormat="1" applyFont="1" applyFill="1" applyBorder="1" applyAlignment="1">
      <x:alignment vertical="center"/>
    </x:xf>
    <x:xf numFmtId="200" fontId="1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1" fillId="0" borderId="2" xfId="0" applyNumberFormat="1" applyFont="1" applyFill="1" applyBorder="1" applyAlignment="1">
      <x:alignment vertical="center"/>
    </x:xf>
    <x:xf numFmtId="203" fontId="11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204" fontId="14" fillId="0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b/>
        <x:color rgb="FF008000"/>
      </x:font>
      <x:fill>
        <x:patternFill patternType="solid">
          <x:bgColor rgb="FFD9EAD3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b/>
        <x:color rgb="FF008000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424f0dfd2c494b" /><Relationship Type="http://schemas.openxmlformats.org/officeDocument/2006/relationships/theme" Target="/xl/theme/theme1.xml" Id="R0b772d7cddc946b3" /><Relationship Type="http://schemas.openxmlformats.org/officeDocument/2006/relationships/sharedStrings" Target="/xl/sharedStrings.xml" Id="R35e59519d0304da3" /><Relationship Type="http://schemas.openxmlformats.org/officeDocument/2006/relationships/worksheet" Target="/xl/worksheets/sheet1.xml" Id="R19d80aec3fa9479e" /><Relationship Type="http://schemas.openxmlformats.org/officeDocument/2006/relationships/worksheet" Target="/xl/worksheets/sheet2.xml" Id="R02883903851343ed" /><Relationship Type="http://schemas.openxmlformats.org/officeDocument/2006/relationships/worksheet" Target="/xl/worksheets/sheet3.xml" Id="R17dce514ceff40f0" /><Relationship Type="http://schemas.openxmlformats.org/officeDocument/2006/relationships/worksheet" Target="/xl/worksheets/sheet4.xml" Id="Rbb54386043b34ca2" /><Relationship Type="http://schemas.openxmlformats.org/officeDocument/2006/relationships/worksheet" Target="/xl/worksheets/sheet5.xml" Id="R718071fbc36d43d7" /><Relationship Type="http://schemas.openxmlformats.org/officeDocument/2006/relationships/worksheet" Target="/xl/worksheets/sheet6.xml" Id="R55486cd5326440bf" /><Relationship Type="http://schemas.openxmlformats.org/officeDocument/2006/relationships/worksheet" Target="/xl/worksheets/sheet7.xml" Id="R379a6d0c90794b43" /><Relationship Type="http://schemas.openxmlformats.org/officeDocument/2006/relationships/worksheet" Target="/xl/worksheets/sheet8.xml" Id="R048c0052642244dc" /><Relationship Type="http://schemas.openxmlformats.org/officeDocument/2006/relationships/worksheet" Target="/xl/worksheets/sheet9.xml" Id="R0a46a10bbf2a40f0" /><Relationship Type="http://schemas.openxmlformats.org/officeDocument/2006/relationships/worksheet" Target="/xl/worksheets/sheet10.xml" Id="R5bfecbeb24124e5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6a8783f10b2492c" /><Relationship Type="http://schemas.openxmlformats.org/officeDocument/2006/relationships/chart" Target="/xl/drawings/charts/chart2.xml" Id="Rcff82a6623ad454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Net sales and adjusted EBITDA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Net sales</c:v>
          </c:tx>
          <c:marker>
            <c:symbol val="none"/>
          </c:marker>
          <c:cat>
            <c:strRef>
              <c:f>'Dashboard'!$T$21:$T$25</c:f>
              <c:strCache>
                <c:ptCount val="0"/>
              </c:strCache>
            </c:strRef>
          </c:cat>
          <c:val>
            <c:numRef>
              <c:f>'Dashboard'!$U$21:$U$25</c:f>
              <c:numCache>
                <c:formatCode>;;;</c:formatCode>
                <c:ptCount val="0"/>
              </c:numCache>
            </c:numRef>
          </c:val>
          <c:smooth val="0"/>
        </c:ser>
        <c:ser>
          <c:idx val="1"/>
          <c:order val="1"/>
          <c:tx>
            <c:v>Adjusted EBITDA</c:v>
          </c:tx>
          <c:marker>
            <c:symbol val="none"/>
          </c:marker>
          <c:cat>
            <c:strRef>
              <c:f>'Dashboard'!$T$21:$T$25</c:f>
              <c:strCache>
                <c:ptCount val="0"/>
              </c:strCache>
            </c:strRef>
          </c:cat>
          <c:val>
            <c:numRef>
              <c:f>'Dashboard'!$V$21:$V$25</c:f>
              <c:numCache>
                <c:formatCode>;;;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Free cash flow and net debt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Free cash flow</c:v>
          </c:tx>
          <c:marker>
            <c:symbol val="none"/>
          </c:marker>
          <c:cat>
            <c:strRef>
              <c:f>'Dashboard'!$T$29:$T$33</c:f>
              <c:strCache>
                <c:ptCount val="0"/>
              </c:strCache>
            </c:strRef>
          </c:cat>
          <c:val>
            <c:numRef>
              <c:f>'Dashboard'!$U$29:$U$33</c:f>
              <c:numCache>
                <c:formatCode>;;;</c:formatCode>
                <c:ptCount val="0"/>
              </c:numCache>
            </c:numRef>
          </c:val>
          <c:smooth val="0"/>
        </c:ser>
        <c:ser>
          <c:idx val="1"/>
          <c:order val="1"/>
          <c:tx>
            <c:v>Net debt</c:v>
          </c:tx>
          <c:marker>
            <c:symbol val="none"/>
          </c:marker>
          <c:cat>
            <c:strRef>
              <c:f>'Dashboard'!$T$29:$T$33</c:f>
              <c:strCache>
                <c:ptCount val="0"/>
              </c:strCache>
            </c:strRef>
          </c:cat>
          <c:val>
            <c:numRef>
              <c:f>'Dashboard'!$V$29:$V$33</c:f>
              <c:numCache>
                <c:formatCode>;;;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8</xdr:row>
      <xdr:rowOff>0</xdr:rowOff>
    </xdr:from>
    <xdr:to>
      <xdr:col>17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a8783f10b2492c"/>
        </a:graphicData>
      </a:graphic>
    </xdr:graphicFrame>
    <xdr:clientData/>
  </xdr:twoCellAnchor>
  <xdr:twoCellAnchor>
    <xdr:from>
      <xdr:col>9</xdr:col>
      <xdr:colOff>0</xdr:colOff>
      <xdr:row>27</xdr:row>
      <xdr:rowOff>0</xdr:rowOff>
    </xdr:from>
    <xdr:to>
      <xdr:col>17</xdr:col>
      <xdr:colOff>0</xdr:colOff>
      <xdr:row>44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f82a6623ad454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86f85d3e9a014b16" /></Relationships>
</file>

<file path=xl/worksheets/sheet1.xml><?xml version="1.0" encoding="utf-8"?>
<x:worksheet xmlns:x="http://schemas.openxmlformats.org/spreadsheetml/2006/main">
  <x:sheetPr>
    <x:tabColor rgb="FFA6A6A6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6" hidden="0" customWidth="1"/>
    <x:col min="4" max="4" width="6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71"/>
      <x:c r="B1" s="71"/>
      <x:c r="C1" s="79"/>
      <x:c r="D1" s="71"/>
      <x:c r="E1" s="71"/>
      <x:c r="F1" s="71"/>
      <x:c r="G1" s="71"/>
      <x:c r="H1" s="71"/>
      <x:c r="I1" s="71"/>
      <x:c r="J1" s="71"/>
      <x:c r="K1" s="71"/>
    </x:row>
    <x:row r="2">
      <x:c r="A2" s="71"/>
      <x:c r="B2" s="71"/>
      <x:c r="C2" s="72" t="str">
        <x:v>Diageo plc</x:v>
      </x:c>
      <x:c r="D2" s="71"/>
      <x:c r="E2" s="71"/>
      <x:c r="F2" s="71"/>
      <x:c r="G2" s="71"/>
      <x:c r="H2" s="71"/>
      <x:c r="I2" s="71"/>
      <x:c r="J2" s="71"/>
      <x:c r="K2" s="71"/>
    </x:row>
    <x:row r="3">
      <x:c r="A3" s="71"/>
      <x:c r="B3" s="71"/>
      <x:c r="C3" s="73" t="str">
        <x:v>Integrated three-statement financial model | US$ millions | Fiscal year ended 30 June</x:v>
      </x:c>
      <x:c r="D3" s="73"/>
      <x:c r="E3" s="73"/>
      <x:c r="F3" s="73"/>
      <x:c r="G3" s="73"/>
      <x:c r="H3" s="73"/>
      <x:c r="I3" s="73"/>
      <x:c r="J3" s="73"/>
      <x:c r="K3" s="73"/>
    </x:row>
    <x:row r="4">
      <x:c r="A4" s="71"/>
      <x:c r="B4" s="71"/>
      <x:c r="C4" s="74"/>
      <x:c r="D4" s="74"/>
      <x:c r="E4" s="74"/>
      <x:c r="F4" s="74"/>
      <x:c r="G4" s="74"/>
      <x:c r="H4" s="74"/>
      <x:c r="I4" s="74"/>
      <x:c r="J4" s="74"/>
      <x:c r="K4" s="74"/>
    </x:row>
    <x:row r="5">
      <x:c r="A5" s="71"/>
      <x:c r="B5" s="71"/>
      <x:c r="C5" s="71"/>
      <x:c r="D5" s="71"/>
      <x:c r="E5" s="71"/>
      <x:c r="F5" s="71"/>
      <x:c r="G5" s="71"/>
      <x:c r="H5" s="71"/>
      <x:c r="I5" s="71"/>
      <x:c r="J5" s="71"/>
      <x:c r="K5" s="71"/>
    </x:row>
    <x:row r="6">
      <x:c r="A6" s="71"/>
      <x:c r="B6" s="71"/>
      <x:c r="C6" s="71"/>
      <x:c r="D6" s="71"/>
      <x:c r="E6" s="71"/>
      <x:c r="F6" s="71"/>
      <x:c r="G6" s="71"/>
      <x:c r="H6" s="71"/>
      <x:c r="I6" s="71"/>
      <x:c r="J6" s="71"/>
      <x:c r="K6" s="71"/>
    </x:row>
    <x:row r="7">
      <x:c r="A7" s="71"/>
      <x:c r="B7" s="71"/>
      <x:c r="C7" s="71" t="str">
        <x:v>Company</x:v>
      </x:c>
      <x:c r="D7" s="71" t="str">
        <x:v>Diageo plc</x:v>
      </x:c>
      <x:c r="E7" s="71"/>
      <x:c r="F7" s="71"/>
      <x:c r="G7" s="71"/>
      <x:c r="H7" s="71"/>
      <x:c r="I7" s="71"/>
      <x:c r="J7" s="71"/>
      <x:c r="K7" s="71"/>
    </x:row>
    <x:row r="8">
      <x:c r="A8" s="71"/>
      <x:c r="B8" s="71"/>
      <x:c r="C8" s="71" t="str">
        <x:v>Ticker</x:v>
      </x:c>
      <x:c r="D8" s="71" t="str">
        <x:v>DGE (London Stock Exchange)</x:v>
      </x:c>
      <x:c r="E8" s="71"/>
      <x:c r="F8" s="71"/>
      <x:c r="G8" s="71"/>
      <x:c r="H8" s="71"/>
      <x:c r="I8" s="71"/>
      <x:c r="J8" s="71"/>
      <x:c r="K8" s="71"/>
    </x:row>
    <x:row r="9">
      <x:c r="A9" s="71"/>
      <x:c r="B9" s="71"/>
      <x:c r="C9" s="71" t="str">
        <x:v>Historical period</x:v>
      </x:c>
      <x:c r="D9" s="71" t="str">
        <x:v>FY2024–FY2026</x:v>
      </x:c>
      <x:c r="E9" s="71"/>
      <x:c r="F9" s="71"/>
      <x:c r="G9" s="71"/>
      <x:c r="H9" s="71"/>
      <x:c r="I9" s="71"/>
      <x:c r="J9" s="71"/>
      <x:c r="K9" s="71"/>
    </x:row>
    <x:row r="10">
      <x:c r="A10" s="71"/>
      <x:c r="B10" s="71"/>
      <x:c r="C10" s="71" t="str">
        <x:v>Forecast period</x:v>
      </x:c>
      <x:c r="D10" s="71" t="str">
        <x:v>FY2027–FY2031</x:v>
      </x:c>
      <x:c r="E10" s="71"/>
      <x:c r="F10" s="71"/>
      <x:c r="G10" s="71"/>
      <x:c r="H10" s="71"/>
      <x:c r="I10" s="71"/>
      <x:c r="J10" s="71"/>
      <x:c r="K10" s="71"/>
    </x:row>
    <x:row r="11">
      <x:c r="A11" s="71"/>
      <x:c r="B11" s="71"/>
      <x:c r="C11" s="71" t="str">
        <x:v>Reporting currency</x:v>
      </x:c>
      <x:c r="D11" s="71" t="str">
        <x:v>US dollar</x:v>
      </x:c>
      <x:c r="E11" s="71"/>
      <x:c r="F11" s="71"/>
      <x:c r="G11" s="71"/>
      <x:c r="H11" s="71"/>
      <x:c r="I11" s="71"/>
      <x:c r="J11" s="71"/>
      <x:c r="K11" s="71"/>
    </x:row>
    <x:row r="12">
      <x:c r="A12" s="71"/>
      <x:c r="B12" s="71"/>
      <x:c r="C12" s="71" t="str">
        <x:v>Scenario</x:v>
      </x:c>
      <x:c r="D12" s="71" t="str">
        <x:v>Base (selector = 2)</x:v>
      </x:c>
      <x:c r="E12" s="71"/>
      <x:c r="F12" s="71"/>
      <x:c r="G12" s="71"/>
      <x:c r="H12" s="71"/>
      <x:c r="I12" s="71"/>
      <x:c r="J12" s="71"/>
      <x:c r="K12" s="71"/>
    </x:row>
    <x:row r="13">
      <x:c r="A13" s="71"/>
      <x:c r="B13" s="71"/>
      <x:c r="C13" s="71" t="str">
        <x:v>Prepared</x:v>
      </x:c>
      <x:c r="D13" s="71" t="str">
        <x:v>10 September 2026</x:v>
      </x:c>
      <x:c r="E13" s="71"/>
      <x:c r="F13" s="71"/>
      <x:c r="G13" s="71"/>
      <x:c r="H13" s="71"/>
      <x:c r="I13" s="71"/>
      <x:c r="J13" s="71"/>
      <x:c r="K13" s="71"/>
    </x:row>
    <x:row r="14">
      <x:c r="A14" s="71"/>
      <x:c r="B14" s="71"/>
      <x:c r="C14" s="71"/>
      <x:c r="D14" s="71"/>
      <x:c r="E14" s="71"/>
      <x:c r="F14" s="71"/>
      <x:c r="G14" s="71"/>
      <x:c r="H14" s="71"/>
      <x:c r="I14" s="71"/>
      <x:c r="J14" s="71"/>
      <x:c r="K14" s="71"/>
    </x:row>
    <x:row r="15">
      <x:c r="A15" s="71"/>
      <x:c r="B15" s="71"/>
      <x:c r="C15" s="71"/>
      <x:c r="D15" s="71"/>
      <x:c r="E15" s="71"/>
      <x:c r="F15" s="71"/>
      <x:c r="G15" s="71"/>
      <x:c r="H15" s="71"/>
      <x:c r="I15" s="71"/>
      <x:c r="J15" s="71"/>
      <x:c r="K15" s="71"/>
    </x:row>
    <x:row r="16">
      <x:c r="A16" s="71"/>
      <x:c r="B16" s="71"/>
      <x:c r="C16" s="75" t="str">
        <x:v>Workbook guide</x:v>
      </x:c>
      <x:c r="D16" s="75"/>
      <x:c r="E16" s="75"/>
      <x:c r="F16" s="75"/>
      <x:c r="G16" s="75"/>
      <x:c r="H16" s="75"/>
      <x:c r="I16" s="71"/>
      <x:c r="J16" s="71"/>
      <x:c r="K16" s="71"/>
    </x:row>
    <x:row r="17">
      <x:c r="A17" s="71"/>
      <x:c r="B17" s="71"/>
      <x:c r="C17" s="71"/>
      <x:c r="D17" s="71"/>
      <x:c r="E17" s="71"/>
      <x:c r="F17" s="71"/>
      <x:c r="G17" s="71"/>
      <x:c r="H17" s="71"/>
      <x:c r="I17" s="71"/>
      <x:c r="J17" s="71"/>
      <x:c r="K17" s="71"/>
    </x:row>
    <x:row r="18">
      <x:c r="A18" s="71"/>
      <x:c r="B18" s="71"/>
      <x:c r="C18" s="71" t="str">
        <x:v>Assumptions</x:v>
      </x:c>
      <x:c r="D18" s="71" t="str">
        <x:v>Scenario controls and forecast drivers</x:v>
      </x:c>
      <x:c r="E18" s="71"/>
      <x:c r="F18" s="71"/>
      <x:c r="G18" s="71"/>
      <x:c r="H18" s="71"/>
      <x:c r="I18" s="71"/>
      <x:c r="J18" s="71"/>
      <x:c r="K18" s="71"/>
    </x:row>
    <x:row r="19">
      <x:c r="A19" s="71"/>
      <x:c r="B19" s="71"/>
      <x:c r="C19" s="71" t="str">
        <x:v>Historicals</x:v>
      </x:c>
      <x:c r="D19" s="71" t="str">
        <x:v>Reported financial statements and source references</x:v>
      </x:c>
      <x:c r="E19" s="71"/>
      <x:c r="F19" s="71"/>
      <x:c r="G19" s="71"/>
      <x:c r="H19" s="71"/>
      <x:c r="I19" s="71"/>
      <x:c r="J19" s="71"/>
      <x:c r="K19" s="71"/>
    </x:row>
    <x:row r="20">
      <x:c r="A20" s="71"/>
      <x:c r="B20" s="71"/>
      <x:c r="C20" s="71" t="str">
        <x:v>Revenue Build</x:v>
      </x:c>
      <x:c r="D20" s="71" t="str">
        <x:v>Regional revenue forecast</x:v>
      </x:c>
      <x:c r="E20" s="71"/>
      <x:c r="F20" s="71"/>
      <x:c r="G20" s="71"/>
      <x:c r="H20" s="71"/>
      <x:c r="I20" s="71"/>
      <x:c r="J20" s="71"/>
      <x:c r="K20" s="71"/>
    </x:row>
    <x:row r="21">
      <x:c r="A21" s="71"/>
      <x:c r="B21" s="71"/>
      <x:c r="C21" s="71" t="str">
        <x:v>Operating Model</x:v>
      </x:c>
      <x:c r="D21" s="71" t="str">
        <x:v>Adjusted and reported earnings forecast</x:v>
      </x:c>
      <x:c r="E21" s="71"/>
      <x:c r="F21" s="71"/>
      <x:c r="G21" s="71"/>
      <x:c r="H21" s="71"/>
      <x:c r="I21" s="71"/>
      <x:c r="J21" s="71"/>
      <x:c r="K21" s="71"/>
    </x:row>
    <x:row r="22">
      <x:c r="A22" s="71"/>
      <x:c r="B22" s="71"/>
      <x:c r="C22" s="71" t="str">
        <x:v>Schedules</x:v>
      </x:c>
      <x:c r="D22" s="71" t="str">
        <x:v>Working capital, PP&amp;E, intangibles, debt and equity</x:v>
      </x:c>
      <x:c r="E22" s="71"/>
      <x:c r="F22" s="71"/>
      <x:c r="G22" s="71"/>
      <x:c r="H22" s="71"/>
      <x:c r="I22" s="71"/>
      <x:c r="J22" s="71"/>
      <x:c r="K22" s="71"/>
    </x:row>
    <x:row r="23">
      <x:c r="A23" s="71"/>
      <x:c r="B23" s="71"/>
      <x:c r="C23" s="71" t="str">
        <x:v>Three Statements</x:v>
      </x:c>
      <x:c r="D23" s="71" t="str">
        <x:v>Integrated statements and ratios</x:v>
      </x:c>
      <x:c r="E23" s="71"/>
      <x:c r="F23" s="71"/>
      <x:c r="G23" s="71"/>
      <x:c r="H23" s="71"/>
      <x:c r="I23" s="71"/>
      <x:c r="J23" s="71"/>
      <x:c r="K23" s="71"/>
    </x:row>
    <x:row r="24">
      <x:c r="A24" s="71"/>
      <x:c r="B24" s="71"/>
      <x:c r="C24" s="71" t="str">
        <x:v>Scenarios</x:v>
      </x:c>
      <x:c r="D24" s="71" t="str">
        <x:v>Base, upside and downside outputs</x:v>
      </x:c>
      <x:c r="E24" s="71"/>
      <x:c r="F24" s="71"/>
      <x:c r="G24" s="71"/>
      <x:c r="H24" s="71"/>
      <x:c r="I24" s="71"/>
      <x:c r="J24" s="71"/>
      <x:c r="K24" s="71"/>
    </x:row>
    <x:row r="25">
      <x:c r="A25" s="71"/>
      <x:c r="B25" s="71"/>
      <x:c r="C25" s="71" t="str">
        <x:v>Dashboard</x:v>
      </x:c>
      <x:c r="D25" s="71" t="str">
        <x:v>Selected operating, cash flow and leverage outputs</x:v>
      </x:c>
      <x:c r="E25" s="71"/>
      <x:c r="F25" s="71"/>
      <x:c r="G25" s="71"/>
      <x:c r="H25" s="71"/>
      <x:c r="I25" s="71"/>
      <x:c r="J25" s="71"/>
      <x:c r="K25" s="71"/>
    </x:row>
    <x:row r="26">
      <x:c r="A26" s="71"/>
      <x:c r="B26" s="71"/>
      <x:c r="C26" s="71" t="str">
        <x:v>Checks</x:v>
      </x:c>
      <x:c r="D26" s="71" t="str">
        <x:v>Financial and formula integrity checks</x:v>
      </x:c>
      <x:c r="E26" s="71"/>
      <x:c r="F26" s="71"/>
      <x:c r="G26" s="71"/>
      <x:c r="H26" s="71"/>
      <x:c r="I26" s="71"/>
      <x:c r="J26" s="71"/>
      <x:c r="K26" s="71"/>
    </x:row>
    <x:row r="27">
      <x:c r="A27" s="71"/>
      <x:c r="B27" s="71"/>
      <x:c r="C27" s="71" t="str">
        <x:v>Colour convention</x:v>
      </x:c>
      <x:c r="D27" s="71" t="str">
        <x:v>Blue inputs; black formulas; green cross-sheet links</x:v>
      </x:c>
      <x:c r="E27" s="71"/>
      <x:c r="F27" s="71"/>
      <x:c r="G27" s="71"/>
      <x:c r="H27" s="71"/>
      <x:c r="I27" s="71"/>
      <x:c r="J27" s="71"/>
      <x:c r="K27" s="71"/>
    </x:row>
    <x:row r="28">
      <x:c r="A28" s="71"/>
      <x:c r="B28" s="71"/>
      <x:c r="C28" s="71"/>
      <x:c r="D28" s="71"/>
      <x:c r="E28" s="71"/>
      <x:c r="F28" s="71"/>
      <x:c r="G28" s="71"/>
      <x:c r="H28" s="71"/>
      <x:c r="I28" s="71"/>
      <x:c r="J28" s="71"/>
      <x:c r="K28" s="71"/>
    </x:row>
    <x:row r="29">
      <x:c r="A29" s="71"/>
      <x:c r="B29" s="71"/>
      <x:c r="C29" s="71"/>
      <x:c r="D29" s="71"/>
      <x:c r="E29" s="71"/>
      <x:c r="F29" s="71"/>
      <x:c r="G29" s="71"/>
      <x:c r="H29" s="71"/>
      <x:c r="I29" s="71"/>
      <x:c r="J29" s="71"/>
      <x:c r="K29" s="71"/>
    </x:row>
    <x:row r="30">
      <x:c r="A30" s="71"/>
      <x:c r="B30" s="71"/>
      <x:c r="C30" s="75" t="str">
        <x:v>Sources and limitations</x:v>
      </x:c>
      <x:c r="D30" s="75"/>
      <x:c r="E30" s="75"/>
      <x:c r="F30" s="75"/>
      <x:c r="G30" s="75"/>
      <x:c r="H30" s="75"/>
      <x:c r="I30" s="71"/>
      <x:c r="J30" s="71"/>
      <x:c r="K30" s="71"/>
    </x:row>
    <x:row r="31">
      <x:c r="A31" s="71"/>
      <x:c r="B31" s="71"/>
      <x:c r="C31" s="71"/>
      <x:c r="D31" s="71"/>
      <x:c r="E31" s="71"/>
      <x:c r="F31" s="71"/>
      <x:c r="G31" s="71"/>
      <x:c r="H31" s="71"/>
      <x:c r="I31" s="71"/>
      <x:c r="J31" s="71"/>
      <x:c r="K31" s="71"/>
    </x:row>
    <x:row r="32">
      <x:c r="A32" s="71"/>
      <x:c r="B32" s="71"/>
      <x:c r="C32" s="76" t="str">
        <x:v>FY2026 financial statements</x:v>
      </x:c>
      <x:c r="D32" s="77" t="str">
        <x:v>https://www.diageo.com/~/media/Files/D/Diageo-V2/Diageo-Corp/investors/results-reports-and-events/annual-reports/2026/financial-statements-2026.pdf</x:v>
      </x:c>
      <x:c r="E32" s="77"/>
      <x:c r="F32" s="77"/>
      <x:c r="G32" s="77"/>
      <x:c r="H32" s="77"/>
      <x:c r="I32" s="71"/>
      <x:c r="J32" s="71"/>
      <x:c r="K32" s="71"/>
    </x:row>
    <x:row r="33">
      <x:c r="A33" s="71"/>
      <x:c r="B33" s="71"/>
      <x:c r="C33" s="76" t="str">
        <x:v>FY2025 annual report</x:v>
      </x:c>
      <x:c r="D33" s="77" t="str">
        <x:v>https://www.diageo.com/~/media/Files/D/Diageo-V2/Diageo-Corp/investors/results-reports-and-events/annual-reports/2025/annual-report-2025.pdf</x:v>
      </x:c>
      <x:c r="E33" s="77"/>
      <x:c r="F33" s="77"/>
      <x:c r="G33" s="77"/>
      <x:c r="H33" s="77"/>
      <x:c r="I33" s="71"/>
      <x:c r="J33" s="71"/>
      <x:c r="K33" s="71"/>
    </x:row>
    <x:row r="34">
      <x:c r="A34" s="71"/>
      <x:c r="B34" s="71"/>
      <x:c r="C34" s="76" t="str">
        <x:v>FY2026 results</x:v>
      </x:c>
      <x:c r="D34" s="77" t="str">
        <x:v>https://www.diageo.com/en/news-and-media/press-releases/2026/2026-preliminary-results-year-ended-30-june-2026</x:v>
      </x:c>
      <x:c r="E34" s="77"/>
      <x:c r="F34" s="77"/>
      <x:c r="G34" s="77"/>
      <x:c r="H34" s="77"/>
      <x:c r="I34" s="71"/>
      <x:c r="J34" s="71"/>
      <x:c r="K34" s="71"/>
    </x:row>
    <x:row r="35">
      <x:c r="A35" s="71"/>
      <x:c r="B35" s="71"/>
      <x:c r="C35" s="76" t="str">
        <x:v>FY2026 Capital Markets Day</x:v>
      </x:c>
      <x:c r="D35" s="77" t="str">
        <x:v>https://www.diageo.com/en/news-and-media/press-releases/2026/diageo-capital-markets-day</x:v>
      </x:c>
      <x:c r="E35" s="77"/>
      <x:c r="F35" s="77"/>
      <x:c r="G35" s="77"/>
      <x:c r="H35" s="77"/>
      <x:c r="I35" s="71"/>
      <x:c r="J35" s="71"/>
      <x:c r="K35" s="71"/>
    </x:row>
    <x:row r="36">
      <x:c r="A36" s="71"/>
      <x:c r="B36" s="71"/>
      <x:c r="C36" s="76" t="str">
        <x:v>Historical basis</x:v>
      </x:c>
      <x:c r="D36" s="77" t="str">
        <x:v>FY2024 and FY2025 comparatives use the latest presentation in the FY2026/FY2025 reports.</x:v>
      </x:c>
      <x:c r="E36" s="77"/>
      <x:c r="F36" s="77"/>
      <x:c r="G36" s="77"/>
      <x:c r="H36" s="77"/>
      <x:c r="I36" s="71"/>
      <x:c r="J36" s="71"/>
      <x:c r="K36" s="71"/>
    </x:row>
    <x:row r="37">
      <x:c r="A37" s="71"/>
      <x:c r="B37" s="71"/>
      <x:c r="C37" s="76" t="str">
        <x:v>Forecast basis</x:v>
      </x:c>
      <x:c r="D37" s="77" t="str">
        <x:v>Illustrative analyst assumptions. FX and acquisitions/disposals are simplified.</x:v>
      </x:c>
      <x:c r="E37" s="77"/>
      <x:c r="F37" s="77"/>
      <x:c r="G37" s="77"/>
      <x:c r="H37" s="77"/>
      <x:c r="I37" s="71"/>
      <x:c r="J37" s="71"/>
      <x:c r="K37" s="71"/>
    </x:row>
    <x:row r="38">
      <x:c r="A38" s="71"/>
      <x:c r="B38" s="71"/>
      <x:c r="C38" s="76" t="str">
        <x:v>Circularity</x:v>
      </x:c>
      <x:c r="D38" s="77" t="str">
        <x:v>Interest uses opening debt. A revolver draw maintains minimum cash without circularity.</x:v>
      </x:c>
      <x:c r="E38" s="77"/>
      <x:c r="F38" s="77"/>
      <x:c r="G38" s="77"/>
      <x:c r="H38" s="77"/>
      <x:c r="I38" s="71"/>
      <x:c r="J38" s="71"/>
      <x:c r="K38" s="71"/>
    </x:row>
    <x:row r="39">
      <x:c r="A39" s="71"/>
      <x:c r="B39" s="71"/>
      <x:c r="C39" s="76" t="str">
        <x:v>Disclaimer</x:v>
      </x:c>
      <x:c r="D39" s="77" t="str">
        <x:v>Prepared independently for educational and academic-application purposes. Not investment advice.</x:v>
      </x:c>
      <x:c r="E39" s="77"/>
      <x:c r="F39" s="77"/>
      <x:c r="G39" s="77"/>
      <x:c r="H39" s="77"/>
      <x:c r="I39" s="71"/>
      <x:c r="J39" s="71"/>
      <x:c r="K39" s="71"/>
    </x:row>
    <x:row r="40">
      <x:c r="A40" s="71"/>
      <x:c r="B40" s="71"/>
      <x:c r="C40" s="71"/>
      <x:c r="D40" s="71"/>
      <x:c r="E40" s="71"/>
      <x:c r="F40" s="71"/>
      <x:c r="G40" s="71"/>
      <x:c r="H40" s="71"/>
      <x:c r="I40" s="71"/>
      <x:c r="J40" s="71"/>
      <x:c r="K40" s="71"/>
    </x:row>
    <x:row r="41">
      <x:c r="A41" s="71"/>
      <x:c r="B41" s="71"/>
      <x:c r="C41" s="71" t="str">
        <x:v>Model status</x:v>
      </x:c>
      <x:c r="D41" s="78" t="str">
        <x:f>'Checks'!D20</x:f>
        <x:v>MODEL OK</x:v>
      </x:c>
      <x:c r="E41" s="71"/>
      <x:c r="F41" s="71"/>
      <x:c r="G41" s="71"/>
      <x:c r="H41" s="71"/>
      <x:c r="I41" s="71"/>
      <x:c r="J41" s="71"/>
      <x:c r="K41" s="71"/>
    </x:row>
    <x:row r="42">
      <x:c r="A42" s="71"/>
      <x:c r="B42" s="71"/>
      <x:c r="C42" s="71"/>
      <x:c r="D42" s="71"/>
      <x:c r="E42" s="71"/>
      <x:c r="F42" s="71"/>
      <x:c r="G42" s="71"/>
      <x:c r="H42" s="71"/>
      <x:c r="I42" s="71"/>
      <x:c r="J42" s="71"/>
      <x:c r="K42" s="71"/>
    </x:row>
    <x:row r="43">
      <x:c r="A43" s="71"/>
      <x:c r="B43" s="71"/>
      <x:c r="C43" s="71"/>
      <x:c r="D43" s="71"/>
      <x:c r="E43" s="71"/>
      <x:c r="F43" s="71"/>
      <x:c r="G43" s="71"/>
      <x:c r="H43" s="71"/>
      <x:c r="I43" s="71"/>
      <x:c r="J43" s="71"/>
      <x:c r="K43" s="71"/>
    </x:row>
    <x:row r="44">
      <x:c r="A44" s="71"/>
      <x:c r="B44" s="71"/>
      <x:c r="C44" s="71"/>
      <x:c r="D44" s="71"/>
      <x:c r="E44" s="71"/>
      <x:c r="F44" s="71"/>
      <x:c r="G44" s="71"/>
      <x:c r="H44" s="71"/>
      <x:c r="I44" s="71"/>
      <x:c r="J44" s="71"/>
      <x:c r="K44" s="71"/>
    </x:row>
    <x:row r="45">
      <x:c r="A45" s="71"/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</x:row>
    <x:row r="46">
      <x:c r="A46" s="71"/>
      <x:c r="B46" s="71"/>
      <x:c r="C46" s="71"/>
      <x:c r="D46" s="71"/>
      <x:c r="E46" s="71"/>
      <x:c r="F46" s="71"/>
      <x:c r="G46" s="71"/>
      <x:c r="H46" s="71"/>
      <x:c r="I46" s="71"/>
      <x:c r="J46" s="71"/>
      <x:c r="K46" s="71"/>
    </x:row>
    <x:row r="47">
      <x:c r="A47" s="71"/>
      <x:c r="B47" s="71"/>
      <x:c r="C47" s="71"/>
      <x:c r="D47" s="71"/>
      <x:c r="E47" s="71"/>
      <x:c r="F47" s="71"/>
      <x:c r="G47" s="71"/>
      <x:c r="H47" s="71"/>
      <x:c r="I47" s="71"/>
      <x:c r="J47" s="71"/>
      <x:c r="K47" s="71"/>
    </x:row>
    <x:row r="48">
      <x:c r="A48" s="71"/>
      <x:c r="B48" s="71"/>
      <x:c r="C48" s="71"/>
      <x:c r="D48" s="71"/>
      <x:c r="E48" s="71"/>
      <x:c r="F48" s="71"/>
      <x:c r="G48" s="71"/>
      <x:c r="H48" s="71"/>
      <x:c r="I48" s="71"/>
      <x:c r="J48" s="71"/>
      <x:c r="K48" s="71"/>
    </x:row>
    <x:row r="49">
      <x:c r="A49" s="71"/>
      <x:c r="B49" s="71"/>
      <x:c r="C49" s="71"/>
      <x:c r="D49" s="71"/>
      <x:c r="E49" s="71"/>
      <x:c r="F49" s="71"/>
      <x:c r="G49" s="71"/>
      <x:c r="H49" s="71"/>
      <x:c r="I49" s="71"/>
      <x:c r="J49" s="71"/>
      <x:c r="K49" s="71"/>
    </x:row>
    <x:row r="50">
      <x:c r="A50" s="71"/>
      <x:c r="B50" s="71"/>
      <x:c r="C50" s="71"/>
      <x:c r="D50" s="71"/>
      <x:c r="E50" s="71"/>
      <x:c r="F50" s="71"/>
      <x:c r="G50" s="71"/>
      <x:c r="H50" s="71"/>
      <x:c r="I50" s="71"/>
      <x:c r="J50" s="71"/>
      <x:c r="K50" s="71"/>
    </x:row>
    <x:row r="51">
      <x:c r="A51" s="71"/>
      <x:c r="B51" s="71"/>
      <x:c r="C51" s="71"/>
      <x:c r="D51" s="71"/>
      <x:c r="E51" s="71"/>
      <x:c r="F51" s="71"/>
      <x:c r="G51" s="71"/>
      <x:c r="H51" s="71"/>
      <x:c r="I51" s="71"/>
      <x:c r="J51" s="71"/>
      <x:c r="K51" s="71"/>
    </x:row>
    <x:row r="52">
      <x:c r="A52" s="71"/>
      <x:c r="B52" s="71"/>
      <x:c r="C52" s="71"/>
      <x:c r="D52" s="71"/>
      <x:c r="E52" s="71"/>
      <x:c r="F52" s="71"/>
      <x:c r="G52" s="71"/>
      <x:c r="H52" s="71"/>
      <x:c r="I52" s="71"/>
      <x:c r="J52" s="71"/>
      <x:c r="K52" s="71"/>
    </x:row>
    <x:row r="53">
      <x:c r="A53" s="71"/>
      <x:c r="B53" s="71"/>
      <x:c r="C53" s="71"/>
      <x:c r="D53" s="71"/>
      <x:c r="E53" s="71"/>
      <x:c r="F53" s="71"/>
      <x:c r="G53" s="71"/>
      <x:c r="H53" s="71"/>
      <x:c r="I53" s="71"/>
      <x:c r="J53" s="71"/>
      <x:c r="K53" s="71"/>
    </x:row>
    <x:row r="54">
      <x:c r="A54" s="71"/>
      <x:c r="B54" s="71"/>
      <x:c r="C54" s="71"/>
      <x:c r="D54" s="71"/>
      <x:c r="E54" s="71"/>
      <x:c r="F54" s="71"/>
      <x:c r="G54" s="71"/>
      <x:c r="H54" s="71"/>
      <x:c r="I54" s="71"/>
      <x:c r="J54" s="71"/>
      <x:c r="K54" s="71"/>
    </x:row>
    <x:row r="55">
      <x:c r="A55" s="71"/>
      <x:c r="B55" s="71"/>
      <x:c r="C55" s="71"/>
      <x:c r="D55" s="71"/>
      <x:c r="E55" s="71"/>
      <x:c r="F55" s="71"/>
      <x:c r="G55" s="71"/>
      <x:c r="H55" s="71"/>
      <x:c r="I55" s="71"/>
      <x:c r="J55" s="71"/>
      <x:c r="K55" s="7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C9B458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71"/>
      <x:c r="B1" s="71"/>
      <x:c r="C1" s="79"/>
      <x:c r="D1" s="71"/>
      <x:c r="E1" s="71"/>
      <x:c r="F1" s="71"/>
      <x:c r="G1" s="71"/>
      <x:c r="H1" s="71"/>
      <x:c r="I1" s="71"/>
      <x:c r="J1" s="71"/>
      <x:c r="K1" s="71"/>
    </x:row>
    <x:row r="2">
      <x:c r="A2" s="71"/>
      <x:c r="B2" s="71"/>
      <x:c r="C2" s="72" t="str">
        <x:v>Assumptions</x:v>
      </x:c>
      <x:c r="D2" s="71"/>
      <x:c r="E2" s="71"/>
      <x:c r="F2" s="71"/>
      <x:c r="G2" s="71"/>
      <x:c r="H2" s="71"/>
      <x:c r="I2" s="71"/>
      <x:c r="J2" s="71"/>
      <x:c r="K2" s="71"/>
    </x:row>
    <x:row r="3">
      <x:c r="A3" s="71"/>
      <x:c r="B3" s="71"/>
      <x:c r="C3" s="73" t="str">
        <x:v>Editable scenario assumptions | Forecast years FY2027–FY2031</x:v>
      </x:c>
      <x:c r="D3" s="73"/>
      <x:c r="E3" s="73"/>
      <x:c r="F3" s="73"/>
      <x:c r="G3" s="73"/>
      <x:c r="H3" s="73"/>
      <x:c r="I3" s="73"/>
      <x:c r="J3" s="73"/>
      <x:c r="K3" s="73"/>
    </x:row>
    <x:row r="4">
      <x:c r="A4" s="71"/>
      <x:c r="B4" s="71"/>
      <x:c r="C4" s="74"/>
      <x:c r="D4" s="74"/>
      <x:c r="E4" s="74"/>
      <x:c r="F4" s="74"/>
      <x:c r="G4" s="74"/>
      <x:c r="H4" s="74"/>
      <x:c r="I4" s="74"/>
      <x:c r="J4" s="74"/>
      <x:c r="K4" s="74"/>
    </x:row>
    <x:row r="5">
      <x:c r="A5" s="71"/>
      <x:c r="B5" s="71"/>
      <x:c r="C5" s="71"/>
      <x:c r="D5" s="71"/>
      <x:c r="E5" s="71"/>
      <x:c r="F5" s="71"/>
      <x:c r="G5" s="71"/>
      <x:c r="H5" s="71"/>
      <x:c r="I5" s="71"/>
      <x:c r="J5" s="71"/>
      <x:c r="K5" s="71"/>
    </x:row>
    <x:row r="6">
      <x:c r="A6" s="71"/>
      <x:c r="B6" s="71"/>
      <x:c r="C6" s="71"/>
      <x:c r="D6" s="80" t="str">
        <x:v>FY:24A</x:v>
      </x:c>
      <x:c r="E6" s="80" t="str">
        <x:v>FY:25A</x:v>
      </x:c>
      <x:c r="F6" s="80" t="str">
        <x:v>FY:26A</x:v>
      </x:c>
      <x:c r="G6" s="81" t="str">
        <x:v>FY:27E</x:v>
      </x:c>
      <x:c r="H6" s="82" t="str">
        <x:v>FY:28E</x:v>
      </x:c>
      <x:c r="I6" s="82" t="str">
        <x:v>FY:29E</x:v>
      </x:c>
      <x:c r="J6" s="82" t="str">
        <x:v>FY:30E</x:v>
      </x:c>
      <x:c r="K6" s="82" t="str">
        <x:v>FY:31E</x:v>
      </x:c>
    </x:row>
    <x:row r="7">
      <x:c r="A7" s="71"/>
      <x:c r="B7" s="71"/>
      <x:c r="C7" s="71"/>
      <x:c r="D7" s="71"/>
      <x:c r="E7" s="71"/>
      <x:c r="F7" s="71"/>
      <x:c r="G7" s="83"/>
      <x:c r="H7" s="71"/>
      <x:c r="I7" s="71"/>
      <x:c r="J7" s="71"/>
      <x:c r="K7" s="71"/>
    </x:row>
    <x:row r="8">
      <x:c r="A8" s="71"/>
      <x:c r="B8" s="71"/>
      <x:c r="C8" s="71" t="str">
        <x:v>Scenario selector (1 downside / 2 base / 3 upside)</x:v>
      </x:c>
      <x:c r="D8" s="84" t="n">
        <x:v>2</x:v>
      </x:c>
      <x:c r="E8" s="71"/>
      <x:c r="F8" s="71"/>
      <x:c r="G8" s="83"/>
      <x:c r="H8" s="71"/>
      <x:c r="I8" s="71"/>
      <x:c r="J8" s="71"/>
      <x:c r="K8" s="71"/>
    </x:row>
    <x:row r="9">
      <x:c r="A9" s="71"/>
      <x:c r="B9" s="71"/>
      <x:c r="C9" s="71" t="str">
        <x:v>Active scenario</x:v>
      </x:c>
      <x:c r="D9" s="71" t="str">
        <x:f>CHOOSE(D8,"Downside","Base","Upside")</x:f>
        <x:v>Base</x:v>
      </x:c>
      <x:c r="E9" s="71"/>
      <x:c r="F9" s="71"/>
      <x:c r="G9" s="83"/>
      <x:c r="H9" s="71"/>
      <x:c r="I9" s="71"/>
      <x:c r="J9" s="71"/>
      <x:c r="K9" s="71"/>
    </x:row>
    <x:row r="10">
      <x:c r="A10" s="71"/>
      <x:c r="B10" s="71"/>
      <x:c r="C10" s="71"/>
      <x:c r="D10" s="71"/>
      <x:c r="E10" s="71"/>
      <x:c r="F10" s="71"/>
      <x:c r="G10" s="83"/>
      <x:c r="H10" s="71"/>
      <x:c r="I10" s="71"/>
      <x:c r="J10" s="71"/>
      <x:c r="K10" s="71"/>
    </x:row>
    <x:row r="11">
      <x:c r="A11" s="71"/>
      <x:c r="B11" s="71"/>
      <x:c r="C11" s="71"/>
      <x:c r="D11" s="71"/>
      <x:c r="E11" s="71"/>
      <x:c r="F11" s="71"/>
      <x:c r="G11" s="83"/>
      <x:c r="H11" s="71"/>
      <x:c r="I11" s="71"/>
      <x:c r="J11" s="71"/>
      <x:c r="K11" s="71"/>
    </x:row>
    <x:row r="12">
      <x:c r="A12" s="71"/>
      <x:c r="B12" s="71"/>
      <x:c r="C12" s="75" t="str">
        <x:v>Revenue assumptions</x:v>
      </x:c>
      <x:c r="D12" s="75"/>
      <x:c r="E12" s="75"/>
      <x:c r="F12" s="75"/>
      <x:c r="G12" s="85"/>
      <x:c r="H12" s="75"/>
      <x:c r="I12" s="75"/>
      <x:c r="J12" s="75"/>
      <x:c r="K12" s="75"/>
    </x:row>
    <x:row r="13">
      <x:c r="A13" s="71"/>
      <x:c r="B13" s="71"/>
      <x:c r="C13" s="71"/>
      <x:c r="D13" s="71"/>
      <x:c r="E13" s="71"/>
      <x:c r="F13" s="71"/>
      <x:c r="G13" s="86" t="str">
        <x:v>FY:27E</x:v>
      </x:c>
      <x:c r="H13" s="87" t="str">
        <x:v>FY:28E</x:v>
      </x:c>
      <x:c r="I13" s="87" t="str">
        <x:v>FY:29E</x:v>
      </x:c>
      <x:c r="J13" s="87" t="str">
        <x:v>FY:30E</x:v>
      </x:c>
      <x:c r="K13" s="87" t="str">
        <x:v>FY:31E</x:v>
      </x:c>
    </x:row>
    <x:row r="14">
      <x:c r="A14" s="71"/>
      <x:c r="B14" s="71"/>
      <x:c r="C14" s="71" t="str">
        <x:v>North America organic growth</x:v>
      </x:c>
      <x:c r="D14" s="88" t="str">
        <x:v>Downside</x:v>
      </x:c>
      <x:c r="E14" s="88" t="str">
        <x:v>Base</x:v>
      </x:c>
      <x:c r="F14" s="88" t="str">
        <x:v>Upside</x:v>
      </x:c>
      <x:c r="G14" s="89" t="n">
        <x:f>CHOOSE($D$8,-0.08,-0.05,-0.02)</x:f>
        <x:v>-0.05</x:v>
      </x:c>
      <x:c r="H14" s="90" t="n">
        <x:f>CHOOSE($D$8,0,0,0.02)</x:f>
        <x:v>0</x:v>
      </x:c>
      <x:c r="I14" s="90" t="n">
        <x:f>CHOOSE($D$8,0.01,0.02,0.04)</x:f>
        <x:v>0.02</x:v>
      </x:c>
      <x:c r="J14" s="90" t="n">
        <x:f>CHOOSE($D$8,0.02,0.03,0.04)</x:f>
        <x:v>0.03</x:v>
      </x:c>
      <x:c r="K14" s="90" t="n">
        <x:f>CHOOSE($D$8,0.02,0.03,0.04)</x:f>
        <x:v>0.03</x:v>
      </x:c>
    </x:row>
    <x:row r="15">
      <x:c r="A15" s="71"/>
      <x:c r="B15" s="71"/>
      <x:c r="C15" s="71" t="str">
        <x:v>Europe organic growth</x:v>
      </x:c>
      <x:c r="D15" s="88" t="str">
        <x:v>Downside</x:v>
      </x:c>
      <x:c r="E15" s="88" t="str">
        <x:v>Base</x:v>
      </x:c>
      <x:c r="F15" s="88" t="str">
        <x:v>Upside</x:v>
      </x:c>
      <x:c r="G15" s="89" t="n">
        <x:f>CHOOSE($D$8,0,0.02,0.04)</x:f>
        <x:v>0.02</x:v>
      </x:c>
      <x:c r="H15" s="90" t="n">
        <x:f>CHOOSE($D$8,0.01,0.03,0.05)</x:f>
        <x:v>0.03</x:v>
      </x:c>
      <x:c r="I15" s="90" t="n">
        <x:f>CHOOSE($D$8,0.02,0.03,0.05)</x:f>
        <x:v>0.03</x:v>
      </x:c>
      <x:c r="J15" s="90" t="n">
        <x:f>CHOOSE($D$8,0.02,0.03,0.04)</x:f>
        <x:v>0.03</x:v>
      </x:c>
      <x:c r="K15" s="90" t="n">
        <x:f>CHOOSE($D$8,0.02,0.03,0.04)</x:f>
        <x:v>0.03</x:v>
      </x:c>
    </x:row>
    <x:row r="16">
      <x:c r="A16" s="71"/>
      <x:c r="B16" s="71"/>
      <x:c r="C16" s="71" t="str">
        <x:v>Asia Pacific organic growth</x:v>
      </x:c>
      <x:c r="D16" s="88" t="str">
        <x:v>Downside</x:v>
      </x:c>
      <x:c r="E16" s="88" t="str">
        <x:v>Base</x:v>
      </x:c>
      <x:c r="F16" s="88" t="str">
        <x:v>Upside</x:v>
      </x:c>
      <x:c r="G16" s="89" t="n">
        <x:f>CHOOSE($D$8,-0.03,0,0.03)</x:f>
        <x:v>0</x:v>
      </x:c>
      <x:c r="H16" s="90" t="n">
        <x:f>CHOOSE($D$8,-0.01,0.02,0.05)</x:f>
        <x:v>0.02</x:v>
      </x:c>
      <x:c r="I16" s="90" t="n">
        <x:f>CHOOSE($D$8,0.01,0.03,0.06)</x:f>
        <x:v>0.03</x:v>
      </x:c>
      <x:c r="J16" s="90" t="n">
        <x:f>CHOOSE($D$8,0.02,0.04,0.06)</x:f>
        <x:v>0.04</x:v>
      </x:c>
      <x:c r="K16" s="90" t="n">
        <x:f>CHOOSE($D$8,0.02,0.04,0.05)</x:f>
        <x:v>0.04</x:v>
      </x:c>
    </x:row>
    <x:row r="17">
      <x:c r="A17" s="71"/>
      <x:c r="B17" s="71"/>
      <x:c r="C17" s="71" t="str">
        <x:v>Latin America &amp; Caribbean organic growth</x:v>
      </x:c>
      <x:c r="D17" s="88" t="str">
        <x:v>Downside</x:v>
      </x:c>
      <x:c r="E17" s="88" t="str">
        <x:v>Base</x:v>
      </x:c>
      <x:c r="F17" s="88" t="str">
        <x:v>Upside</x:v>
      </x:c>
      <x:c r="G17" s="89" t="n">
        <x:f>CHOOSE($D$8,0,0.03,0.05)</x:f>
        <x:v>0.03</x:v>
      </x:c>
      <x:c r="H17" s="90" t="n">
        <x:f>CHOOSE($D$8,0.02,0.04,0.06)</x:f>
        <x:v>0.04</x:v>
      </x:c>
      <x:c r="I17" s="90" t="n">
        <x:f>CHOOSE($D$8,0.03,0.04,0.06)</x:f>
        <x:v>0.04</x:v>
      </x:c>
      <x:c r="J17" s="90" t="n">
        <x:f>CHOOSE($D$8,0.03,0.04,0.05)</x:f>
        <x:v>0.04</x:v>
      </x:c>
      <x:c r="K17" s="90" t="n">
        <x:f>CHOOSE($D$8,0.03,0.04,0.05)</x:f>
        <x:v>0.04</x:v>
      </x:c>
    </x:row>
    <x:row r="18">
      <x:c r="A18" s="71"/>
      <x:c r="B18" s="71"/>
      <x:c r="C18" s="71" t="str">
        <x:v>Africa organic growth</x:v>
      </x:c>
      <x:c r="D18" s="88" t="str">
        <x:v>Downside</x:v>
      </x:c>
      <x:c r="E18" s="88" t="str">
        <x:v>Base</x:v>
      </x:c>
      <x:c r="F18" s="88" t="str">
        <x:v>Upside</x:v>
      </x:c>
      <x:c r="G18" s="89" t="n">
        <x:f>CHOOSE($D$8,0.01,0.04,0.06)</x:f>
        <x:v>0.04</x:v>
      </x:c>
      <x:c r="H18" s="90" t="n">
        <x:f>CHOOSE($D$8,0.03,0.05,0.07)</x:f>
        <x:v>0.05</x:v>
      </x:c>
      <x:c r="I18" s="90" t="n">
        <x:f>CHOOSE($D$8,0.03,0.05,0.07)</x:f>
        <x:v>0.05</x:v>
      </x:c>
      <x:c r="J18" s="90" t="n">
        <x:f>CHOOSE($D$8,0.03,0.05,0.06)</x:f>
        <x:v>0.05</x:v>
      </x:c>
      <x:c r="K18" s="90" t="n">
        <x:f>CHOOSE($D$8,0.03,0.05,0.06)</x:f>
        <x:v>0.05</x:v>
      </x:c>
    </x:row>
    <x:row r="19">
      <x:c r="A19" s="71"/>
      <x:c r="B19" s="71"/>
      <x:c r="C19" s="71" t="str">
        <x:v>Corporate &amp; other organic growth</x:v>
      </x:c>
      <x:c r="D19" s="88" t="str">
        <x:v>Downside</x:v>
      </x:c>
      <x:c r="E19" s="88" t="str">
        <x:v>Base</x:v>
      </x:c>
      <x:c r="F19" s="88" t="str">
        <x:v>Upside</x:v>
      </x:c>
      <x:c r="G19" s="89" t="n">
        <x:f>CHOOSE($D$8,-0.05,0,0.03)</x:f>
        <x:v>0</x:v>
      </x:c>
      <x:c r="H19" s="90" t="n">
        <x:f>CHOOSE($D$8,0,0,0.03)</x:f>
        <x:v>0</x:v>
      </x:c>
      <x:c r="I19" s="90" t="n">
        <x:f>CHOOSE($D$8,0,0,0.03)</x:f>
        <x:v>0</x:v>
      </x:c>
      <x:c r="J19" s="90" t="n">
        <x:f>CHOOSE($D$8,0,0,0.03)</x:f>
        <x:v>0</x:v>
      </x:c>
      <x:c r="K19" s="90" t="n">
        <x:f>CHOOSE($D$8,0,0,0.03)</x:f>
        <x:v>0</x:v>
      </x:c>
    </x:row>
    <x:row r="20">
      <x:c r="A20" s="71"/>
      <x:c r="B20" s="71"/>
      <x:c r="C20" s="71"/>
      <x:c r="D20" s="71"/>
      <x:c r="E20" s="71"/>
      <x:c r="F20" s="71"/>
      <x:c r="G20" s="91"/>
      <x:c r="H20" s="92"/>
      <x:c r="I20" s="92"/>
      <x:c r="J20" s="92"/>
      <x:c r="K20" s="92"/>
    </x:row>
    <x:row r="21">
      <x:c r="A21" s="71"/>
      <x:c r="B21" s="71"/>
      <x:c r="C21" s="71"/>
      <x:c r="D21" s="71"/>
      <x:c r="E21" s="71"/>
      <x:c r="F21" s="71"/>
      <x:c r="G21" s="91"/>
      <x:c r="H21" s="92"/>
      <x:c r="I21" s="92"/>
      <x:c r="J21" s="92"/>
      <x:c r="K21" s="92"/>
    </x:row>
    <x:row r="22">
      <x:c r="A22" s="71"/>
      <x:c r="B22" s="71"/>
      <x:c r="C22" s="75" t="str">
        <x:v>Operating assumptions</x:v>
      </x:c>
      <x:c r="D22" s="75"/>
      <x:c r="E22" s="75"/>
      <x:c r="F22" s="75"/>
      <x:c r="G22" s="93"/>
      <x:c r="H22" s="94"/>
      <x:c r="I22" s="94"/>
      <x:c r="J22" s="94"/>
      <x:c r="K22" s="94"/>
    </x:row>
    <x:row r="23">
      <x:c r="A23" s="71"/>
      <x:c r="B23" s="71"/>
      <x:c r="C23" s="71"/>
      <x:c r="D23" s="71"/>
      <x:c r="E23" s="71"/>
      <x:c r="F23" s="71"/>
      <x:c r="G23" s="95" t="str">
        <x:v>FY:27E</x:v>
      </x:c>
      <x:c r="H23" s="96" t="str">
        <x:v>FY:28E</x:v>
      </x:c>
      <x:c r="I23" s="96" t="str">
        <x:v>FY:29E</x:v>
      </x:c>
      <x:c r="J23" s="96" t="str">
        <x:v>FY:30E</x:v>
      </x:c>
      <x:c r="K23" s="96" t="str">
        <x:v>FY:31E</x:v>
      </x:c>
    </x:row>
    <x:row r="24">
      <x:c r="A24" s="71"/>
      <x:c r="B24" s="71"/>
      <x:c r="C24" s="71" t="str">
        <x:v>Gross margin</x:v>
      </x:c>
      <x:c r="D24" s="88" t="str">
        <x:v>Downside</x:v>
      </x:c>
      <x:c r="E24" s="88" t="str">
        <x:v>Base</x:v>
      </x:c>
      <x:c r="F24" s="88" t="str">
        <x:v>Upside</x:v>
      </x:c>
      <x:c r="G24" s="89" t="n">
        <x:f>CHOOSE($D$8,0.585,0.598,0.606)</x:f>
        <x:v>0.598</x:v>
      </x:c>
      <x:c r="H24" s="90" t="n">
        <x:f>CHOOSE($D$8,0.588,0.602,0.612)</x:f>
        <x:v>0.602</x:v>
      </x:c>
      <x:c r="I24" s="90" t="n">
        <x:f>CHOOSE($D$8,0.59,0.605,0.617)</x:f>
        <x:v>0.605</x:v>
      </x:c>
      <x:c r="J24" s="90" t="n">
        <x:f>CHOOSE($D$8,0.592,0.607,0.62)</x:f>
        <x:v>0.607</x:v>
      </x:c>
      <x:c r="K24" s="90" t="n">
        <x:f>CHOOSE($D$8,0.594,0.609,0.622)</x:f>
        <x:v>0.609</x:v>
      </x:c>
    </x:row>
    <x:row r="25">
      <x:c r="A25" s="71"/>
      <x:c r="B25" s="71"/>
      <x:c r="C25" s="71" t="str">
        <x:v>Marketing as % of sales</x:v>
      </x:c>
      <x:c r="D25" s="88" t="str">
        <x:v>Downside</x:v>
      </x:c>
      <x:c r="E25" s="88" t="str">
        <x:v>Base</x:v>
      </x:c>
      <x:c r="F25" s="88" t="str">
        <x:v>Upside</x:v>
      </x:c>
      <x:c r="G25" s="89" t="n">
        <x:f>CHOOSE($D$8,0.164,0.162,0.163)</x:f>
        <x:v>0.162</x:v>
      </x:c>
      <x:c r="H25" s="90" t="n">
        <x:f>CHOOSE($D$8,0.164,0.162,0.164)</x:f>
        <x:v>0.162</x:v>
      </x:c>
      <x:c r="I25" s="90" t="n">
        <x:f>CHOOSE($D$8,0.163,0.162,0.164)</x:f>
        <x:v>0.162</x:v>
      </x:c>
      <x:c r="J25" s="90" t="n">
        <x:f>CHOOSE($D$8,0.163,0.162,0.164)</x:f>
        <x:v>0.162</x:v>
      </x:c>
      <x:c r="K25" s="90" t="n">
        <x:f>CHOOSE($D$8,0.163,0.162,0.164)</x:f>
        <x:v>0.162</x:v>
      </x:c>
    </x:row>
    <x:row r="26">
      <x:c r="A26" s="71"/>
      <x:c r="B26" s="71"/>
      <x:c r="C26" s="71" t="str">
        <x:v>Other recurring opex as % of sales</x:v>
      </x:c>
      <x:c r="D26" s="88" t="str">
        <x:v>Downside</x:v>
      </x:c>
      <x:c r="E26" s="88" t="str">
        <x:v>Base</x:v>
      </x:c>
      <x:c r="F26" s="88" t="str">
        <x:v>Upside</x:v>
      </x:c>
      <x:c r="G26" s="89" t="n">
        <x:f>CHOOSE($D$8,0.164,0.153,0.148)</x:f>
        <x:v>0.153</x:v>
      </x:c>
      <x:c r="H26" s="90" t="n">
        <x:f>CHOOSE($D$8,0.162,0.149,0.143)</x:f>
        <x:v>0.149</x:v>
      </x:c>
      <x:c r="I26" s="90" t="n">
        <x:f>CHOOSE($D$8,0.16,0.147,0.14)</x:f>
        <x:v>0.147</x:v>
      </x:c>
      <x:c r="J26" s="90" t="n">
        <x:f>CHOOSE($D$8,0.158,0.146,0.139)</x:f>
        <x:v>0.146</x:v>
      </x:c>
      <x:c r="K26" s="90" t="n">
        <x:f>CHOOSE($D$8,0.158,0.145,0.138)</x:f>
        <x:v>0.145</x:v>
      </x:c>
    </x:row>
    <x:row r="27">
      <x:c r="A27" s="71"/>
      <x:c r="B27" s="71"/>
      <x:c r="C27" s="71" t="str">
        <x:v>Exceptional operating costs ($m)</x:v>
      </x:c>
      <x:c r="D27" s="88" t="str">
        <x:v>Downside</x:v>
      </x:c>
      <x:c r="E27" s="88" t="str">
        <x:v>Base</x:v>
      </x:c>
      <x:c r="F27" s="88" t="str">
        <x:v>Upside</x:v>
      </x:c>
      <x:c r="G27" s="97" t="n">
        <x:f>CHOOSE($D$8,850,850,750)</x:f>
        <x:v>850</x:v>
      </x:c>
      <x:c r="H27" s="98" t="n">
        <x:f>CHOOSE($D$8,500,350,250)</x:f>
        <x:v>350</x:v>
      </x:c>
      <x:c r="I27" s="98" t="n">
        <x:f>CHOOSE($D$8,200,100,50)</x:f>
        <x:v>100</x:v>
      </x:c>
      <x:c r="J27" s="98" t="n">
        <x:f>CHOOSE($D$8,100,0,0)</x:f>
        <x:v>0</x:v>
      </x:c>
      <x:c r="K27" s="98" t="n">
        <x:f>CHOOSE($D$8,50,0,0)</x:f>
        <x:v>0</x:v>
      </x:c>
    </x:row>
    <x:row r="28">
      <x:c r="A28" s="71"/>
      <x:c r="B28" s="71"/>
      <x:c r="C28" s="71" t="str">
        <x:v>Adjusted tax rate</x:v>
      </x:c>
      <x:c r="D28" s="88" t="str">
        <x:v>Downside</x:v>
      </x:c>
      <x:c r="E28" s="88" t="str">
        <x:v>Base</x:v>
      </x:c>
      <x:c r="F28" s="88" t="str">
        <x:v>Upside</x:v>
      </x:c>
      <x:c r="G28" s="89" t="n">
        <x:f>CHOOSE($D$8,0.26,0.25,0.245)</x:f>
        <x:v>0.25</x:v>
      </x:c>
      <x:c r="H28" s="90" t="n">
        <x:f>CHOOSE($D$8,0.26,0.25,0.245)</x:f>
        <x:v>0.25</x:v>
      </x:c>
      <x:c r="I28" s="90" t="n">
        <x:f>CHOOSE($D$8,0.255,0.25,0.245)</x:f>
        <x:v>0.25</x:v>
      </x:c>
      <x:c r="J28" s="90" t="n">
        <x:f>CHOOSE($D$8,0.255,0.25,0.245)</x:f>
        <x:v>0.25</x:v>
      </x:c>
      <x:c r="K28" s="90" t="n">
        <x:f>CHOOSE($D$8,0.255,0.25,0.245)</x:f>
        <x:v>0.25</x:v>
      </x:c>
    </x:row>
    <x:row r="29">
      <x:c r="A29" s="71"/>
      <x:c r="B29" s="71"/>
      <x:c r="C29" s="71" t="str">
        <x:v>Associates and other income ($m)</x:v>
      </x:c>
      <x:c r="D29" s="88" t="str">
        <x:v>Downside</x:v>
      </x:c>
      <x:c r="E29" s="88" t="str">
        <x:v>Base</x:v>
      </x:c>
      <x:c r="F29" s="88" t="str">
        <x:v>Upside</x:v>
      </x:c>
      <x:c r="G29" s="97" t="n">
        <x:f>CHOOSE($D$8,100,150,190)</x:f>
        <x:v>150</x:v>
      </x:c>
      <x:c r="H29" s="98" t="n">
        <x:f>CHOOSE($D$8,100,160,210)</x:f>
        <x:v>160</x:v>
      </x:c>
      <x:c r="I29" s="98" t="n">
        <x:f>CHOOSE($D$8,110,170,230)</x:f>
        <x:v>170</x:v>
      </x:c>
      <x:c r="J29" s="98" t="n">
        <x:f>CHOOSE($D$8,120,180,250)</x:f>
        <x:v>180</x:v>
      </x:c>
      <x:c r="K29" s="98" t="n">
        <x:f>CHOOSE($D$8,130,190,270)</x:f>
        <x:v>190</x:v>
      </x:c>
    </x:row>
    <x:row r="30">
      <x:c r="A30" s="71"/>
      <x:c r="B30" s="71"/>
      <x:c r="C30" s="71"/>
      <x:c r="D30" s="71"/>
      <x:c r="E30" s="71"/>
      <x:c r="F30" s="71"/>
      <x:c r="G30" s="91"/>
      <x:c r="H30" s="92"/>
      <x:c r="I30" s="92"/>
      <x:c r="J30" s="92"/>
      <x:c r="K30" s="92"/>
    </x:row>
    <x:row r="31">
      <x:c r="A31" s="71"/>
      <x:c r="B31" s="71"/>
      <x:c r="C31" s="71"/>
      <x:c r="D31" s="71"/>
      <x:c r="E31" s="71"/>
      <x:c r="F31" s="71"/>
      <x:c r="G31" s="91"/>
      <x:c r="H31" s="92"/>
      <x:c r="I31" s="92"/>
      <x:c r="J31" s="92"/>
      <x:c r="K31" s="92"/>
    </x:row>
    <x:row r="32">
      <x:c r="A32" s="71"/>
      <x:c r="B32" s="71"/>
      <x:c r="C32" s="75" t="str">
        <x:v>Balance sheet and financing assumptions</x:v>
      </x:c>
      <x:c r="D32" s="75"/>
      <x:c r="E32" s="75"/>
      <x:c r="F32" s="75"/>
      <x:c r="G32" s="93"/>
      <x:c r="H32" s="94"/>
      <x:c r="I32" s="94"/>
      <x:c r="J32" s="94"/>
      <x:c r="K32" s="94"/>
    </x:row>
    <x:row r="33">
      <x:c r="A33" s="71"/>
      <x:c r="B33" s="71"/>
      <x:c r="C33" s="71"/>
      <x:c r="D33" s="71"/>
      <x:c r="E33" s="71"/>
      <x:c r="F33" s="71"/>
      <x:c r="G33" s="95" t="str">
        <x:v>FY:27E</x:v>
      </x:c>
      <x:c r="H33" s="96" t="str">
        <x:v>FY:28E</x:v>
      </x:c>
      <x:c r="I33" s="96" t="str">
        <x:v>FY:29E</x:v>
      </x:c>
      <x:c r="J33" s="96" t="str">
        <x:v>FY:30E</x:v>
      </x:c>
      <x:c r="K33" s="96" t="str">
        <x:v>FY:31E</x:v>
      </x:c>
    </x:row>
    <x:row r="34">
      <x:c r="A34" s="71"/>
      <x:c r="B34" s="71"/>
      <x:c r="C34" s="71" t="str">
        <x:v>Receivables as % of sales</x:v>
      </x:c>
      <x:c r="D34" s="88" t="str">
        <x:v>Downside</x:v>
      </x:c>
      <x:c r="E34" s="88" t="str">
        <x:v>Base</x:v>
      </x:c>
      <x:c r="F34" s="88" t="str">
        <x:v>Upside</x:v>
      </x:c>
      <x:c r="G34" s="89" t="n">
        <x:f>CHOOSE($D$8,0.18,0.17,0.16)</x:f>
        <x:v>0.17</x:v>
      </x:c>
      <x:c r="H34" s="90" t="n">
        <x:f>CHOOSE($D$8,0.18,0.168,0.158)</x:f>
        <x:v>0.168</x:v>
      </x:c>
      <x:c r="I34" s="90" t="n">
        <x:f>CHOOSE($D$8,0.178,0.166,0.156)</x:f>
        <x:v>0.166</x:v>
      </x:c>
      <x:c r="J34" s="90" t="n">
        <x:f>CHOOSE($D$8,0.178,0.165,0.155)</x:f>
        <x:v>0.165</x:v>
      </x:c>
      <x:c r="K34" s="90" t="n">
        <x:f>CHOOSE($D$8,0.178,0.165,0.155)</x:f>
        <x:v>0.165</x:v>
      </x:c>
    </x:row>
    <x:row r="35">
      <x:c r="A35" s="71"/>
      <x:c r="B35" s="71"/>
      <x:c r="C35" s="71" t="str">
        <x:v>Inventory as % of sales</x:v>
      </x:c>
      <x:c r="D35" s="88" t="str">
        <x:v>Downside</x:v>
      </x:c>
      <x:c r="E35" s="88" t="str">
        <x:v>Base</x:v>
      </x:c>
      <x:c r="F35" s="88" t="str">
        <x:v>Upside</x:v>
      </x:c>
      <x:c r="G35" s="89" t="n">
        <x:f>CHOOSE($D$8,0.56,0.535,0.515)</x:f>
        <x:v>0.535</x:v>
      </x:c>
      <x:c r="H35" s="90" t="n">
        <x:f>CHOOSE($D$8,0.56,0.525,0.5)</x:f>
        <x:v>0.525</x:v>
      </x:c>
      <x:c r="I35" s="90" t="n">
        <x:f>CHOOSE($D$8,0.555,0.515,0.485)</x:f>
        <x:v>0.515</x:v>
      </x:c>
      <x:c r="J35" s="90" t="n">
        <x:f>CHOOSE($D$8,0.55,0.505,0.47)</x:f>
        <x:v>0.505</x:v>
      </x:c>
      <x:c r="K35" s="90" t="n">
        <x:f>CHOOSE($D$8,0.545,0.5,0.46)</x:f>
        <x:v>0.5</x:v>
      </x:c>
    </x:row>
    <x:row r="36">
      <x:c r="A36" s="71"/>
      <x:c r="B36" s="71"/>
      <x:c r="C36" s="71" t="str">
        <x:v>Trade payables as % of sales</x:v>
      </x:c>
      <x:c r="D36" s="88" t="str">
        <x:v>Downside</x:v>
      </x:c>
      <x:c r="E36" s="88" t="str">
        <x:v>Base</x:v>
      </x:c>
      <x:c r="F36" s="88" t="str">
        <x:v>Upside</x:v>
      </x:c>
      <x:c r="G36" s="89" t="n">
        <x:f>CHOOSE($D$8,0.29,0.3,0.31)</x:f>
        <x:v>0.3</x:v>
      </x:c>
      <x:c r="H36" s="90" t="n">
        <x:f>CHOOSE($D$8,0.29,0.3,0.31)</x:f>
        <x:v>0.3</x:v>
      </x:c>
      <x:c r="I36" s="90" t="n">
        <x:f>CHOOSE($D$8,0.29,0.3,0.31)</x:f>
        <x:v>0.3</x:v>
      </x:c>
      <x:c r="J36" s="90" t="n">
        <x:f>CHOOSE($D$8,0.29,0.3,0.31)</x:f>
        <x:v>0.3</x:v>
      </x:c>
      <x:c r="K36" s="90" t="n">
        <x:f>CHOOSE($D$8,0.29,0.3,0.31)</x:f>
        <x:v>0.3</x:v>
      </x:c>
    </x:row>
    <x:row r="37">
      <x:c r="A37" s="71"/>
      <x:c r="B37" s="71"/>
      <x:c r="C37" s="71" t="str">
        <x:v>Other current assets as % of sales</x:v>
      </x:c>
      <x:c r="D37" s="88" t="str">
        <x:v>Downside</x:v>
      </x:c>
      <x:c r="E37" s="88" t="str">
        <x:v>Base</x:v>
      </x:c>
      <x:c r="F37" s="88" t="str">
        <x:v>Upside</x:v>
      </x:c>
      <x:c r="G37" s="89" t="n">
        <x:f>CHOOSE($D$8,0.075,0.07,0.065)</x:f>
        <x:v>0.07</x:v>
      </x:c>
      <x:c r="H37" s="90" t="n">
        <x:f>CHOOSE($D$8,0.075,0.07,0.065)</x:f>
        <x:v>0.07</x:v>
      </x:c>
      <x:c r="I37" s="90" t="n">
        <x:f>CHOOSE($D$8,0.075,0.07,0.065)</x:f>
        <x:v>0.07</x:v>
      </x:c>
      <x:c r="J37" s="90" t="n">
        <x:f>CHOOSE($D$8,0.075,0.07,0.065)</x:f>
        <x:v>0.07</x:v>
      </x:c>
      <x:c r="K37" s="90" t="n">
        <x:f>CHOOSE($D$8,0.075,0.07,0.065)</x:f>
        <x:v>0.07</x:v>
      </x:c>
    </x:row>
    <x:row r="38">
      <x:c r="A38" s="71"/>
      <x:c r="B38" s="71"/>
      <x:c r="C38" s="71" t="str">
        <x:v>Other non-current assets as % of sales</x:v>
      </x:c>
      <x:c r="D38" s="88" t="str">
        <x:v>Downside</x:v>
      </x:c>
      <x:c r="E38" s="88" t="str">
        <x:v>Base</x:v>
      </x:c>
      <x:c r="F38" s="88" t="str">
        <x:v>Upside</x:v>
      </x:c>
      <x:c r="G38" s="89" t="n">
        <x:f>CHOOSE($D$8,0.36,0.35,0.34)</x:f>
        <x:v>0.35</x:v>
      </x:c>
      <x:c r="H38" s="90" t="n">
        <x:f>CHOOSE($D$8,0.355,0.345,0.335)</x:f>
        <x:v>0.345</x:v>
      </x:c>
      <x:c r="I38" s="90" t="n">
        <x:f>CHOOSE($D$8,0.35,0.34,0.33)</x:f>
        <x:v>0.34</x:v>
      </x:c>
      <x:c r="J38" s="90" t="n">
        <x:f>CHOOSE($D$8,0.345,0.335,0.325)</x:f>
        <x:v>0.335</x:v>
      </x:c>
      <x:c r="K38" s="90" t="n">
        <x:f>CHOOSE($D$8,0.34,0.33,0.32)</x:f>
        <x:v>0.33</x:v>
      </x:c>
    </x:row>
    <x:row r="39">
      <x:c r="A39" s="71"/>
      <x:c r="B39" s="71"/>
      <x:c r="C39" s="71" t="str">
        <x:v>Other operating liabilities as % of sales</x:v>
      </x:c>
      <x:c r="D39" s="88" t="str">
        <x:v>Downside</x:v>
      </x:c>
      <x:c r="E39" s="88" t="str">
        <x:v>Base</x:v>
      </x:c>
      <x:c r="F39" s="88" t="str">
        <x:v>Upside</x:v>
      </x:c>
      <x:c r="G39" s="89" t="n">
        <x:f>CHOOSE($D$8,0.27,0.28,0.29)</x:f>
        <x:v>0.28</x:v>
      </x:c>
      <x:c r="H39" s="90" t="n">
        <x:f>CHOOSE($D$8,0.27,0.28,0.29)</x:f>
        <x:v>0.28</x:v>
      </x:c>
      <x:c r="I39" s="90" t="n">
        <x:f>CHOOSE($D$8,0.27,0.28,0.29)</x:f>
        <x:v>0.28</x:v>
      </x:c>
      <x:c r="J39" s="90" t="n">
        <x:f>CHOOSE($D$8,0.27,0.28,0.29)</x:f>
        <x:v>0.28</x:v>
      </x:c>
      <x:c r="K39" s="90" t="n">
        <x:f>CHOOSE($D$8,0.27,0.28,0.29)</x:f>
        <x:v>0.28</x:v>
      </x:c>
    </x:row>
    <x:row r="40">
      <x:c r="A40" s="71"/>
      <x:c r="B40" s="71"/>
      <x:c r="C40" s="71" t="str">
        <x:v>Capital expenditure as % of sales</x:v>
      </x:c>
      <x:c r="D40" s="88" t="str">
        <x:v>Downside</x:v>
      </x:c>
      <x:c r="E40" s="88" t="str">
        <x:v>Base</x:v>
      </x:c>
      <x:c r="F40" s="88" t="str">
        <x:v>Upside</x:v>
      </x:c>
      <x:c r="G40" s="89" t="n">
        <x:f>CHOOSE($D$8,0.055,0.06,0.065)</x:f>
        <x:v>0.06</x:v>
      </x:c>
      <x:c r="H40" s="90" t="n">
        <x:f>CHOOSE($D$8,0.055,0.06,0.065)</x:f>
        <x:v>0.06</x:v>
      </x:c>
      <x:c r="I40" s="90" t="n">
        <x:f>CHOOSE($D$8,0.055,0.06,0.065)</x:f>
        <x:v>0.06</x:v>
      </x:c>
      <x:c r="J40" s="90" t="n">
        <x:f>CHOOSE($D$8,0.055,0.06,0.065)</x:f>
        <x:v>0.06</x:v>
      </x:c>
      <x:c r="K40" s="90" t="n">
        <x:f>CHOOSE($D$8,0.055,0.06,0.065)</x:f>
        <x:v>0.06</x:v>
      </x:c>
    </x:row>
    <x:row r="41">
      <x:c r="A41" s="71"/>
      <x:c r="B41" s="71"/>
      <x:c r="C41" s="71" t="str">
        <x:v>Intangible additions as % of sales</x:v>
      </x:c>
      <x:c r="D41" s="88" t="str">
        <x:v>Downside</x:v>
      </x:c>
      <x:c r="E41" s="88" t="str">
        <x:v>Base</x:v>
      </x:c>
      <x:c r="F41" s="88" t="str">
        <x:v>Upside</x:v>
      </x:c>
      <x:c r="G41" s="89" t="n">
        <x:f>CHOOSE($D$8,0.005,0.005,0.006)</x:f>
        <x:v>0.005</x:v>
      </x:c>
      <x:c r="H41" s="90" t="n">
        <x:f>CHOOSE($D$8,0.005,0.005,0.006)</x:f>
        <x:v>0.005</x:v>
      </x:c>
      <x:c r="I41" s="90" t="n">
        <x:f>CHOOSE($D$8,0.005,0.005,0.006)</x:f>
        <x:v>0.005</x:v>
      </x:c>
      <x:c r="J41" s="90" t="n">
        <x:f>CHOOSE($D$8,0.005,0.005,0.006)</x:f>
        <x:v>0.005</x:v>
      </x:c>
      <x:c r="K41" s="90" t="n">
        <x:f>CHOOSE($D$8,0.005,0.005,0.006)</x:f>
        <x:v>0.005</x:v>
      </x:c>
    </x:row>
    <x:row r="42">
      <x:c r="A42" s="71"/>
      <x:c r="B42" s="71"/>
      <x:c r="C42" s="71" t="str">
        <x:v>Depreciation as % opening PP&amp;E</x:v>
      </x:c>
      <x:c r="D42" s="88" t="str">
        <x:v>Downside</x:v>
      </x:c>
      <x:c r="E42" s="88" t="str">
        <x:v>Base</x:v>
      </x:c>
      <x:c r="F42" s="88" t="str">
        <x:v>Upside</x:v>
      </x:c>
      <x:c r="G42" s="89" t="n">
        <x:f>CHOOSE($D$8,0.07,0.065,0.06)</x:f>
        <x:v>0.065</x:v>
      </x:c>
      <x:c r="H42" s="90" t="n">
        <x:f>CHOOSE($D$8,0.07,0.065,0.06)</x:f>
        <x:v>0.065</x:v>
      </x:c>
      <x:c r="I42" s="90" t="n">
        <x:f>CHOOSE($D$8,0.07,0.065,0.06)</x:f>
        <x:v>0.065</x:v>
      </x:c>
      <x:c r="J42" s="90" t="n">
        <x:f>CHOOSE($D$8,0.07,0.065,0.06)</x:f>
        <x:v>0.065</x:v>
      </x:c>
      <x:c r="K42" s="90" t="n">
        <x:f>CHOOSE($D$8,0.07,0.065,0.06)</x:f>
        <x:v>0.065</x:v>
      </x:c>
    </x:row>
    <x:row r="43">
      <x:c r="A43" s="71"/>
      <x:c r="B43" s="71"/>
      <x:c r="C43" s="71" t="str">
        <x:v>Amortisation as % opening intangibles</x:v>
      </x:c>
      <x:c r="D43" s="88" t="str">
        <x:v>Downside</x:v>
      </x:c>
      <x:c r="E43" s="88" t="str">
        <x:v>Base</x:v>
      </x:c>
      <x:c r="F43" s="88" t="str">
        <x:v>Upside</x:v>
      </x:c>
      <x:c r="G43" s="89" t="n">
        <x:f>CHOOSE($D$8,0.018,0.017,0.016)</x:f>
        <x:v>0.017</x:v>
      </x:c>
      <x:c r="H43" s="90" t="n">
        <x:f>CHOOSE($D$8,0.018,0.017,0.016)</x:f>
        <x:v>0.017</x:v>
      </x:c>
      <x:c r="I43" s="90" t="n">
        <x:f>CHOOSE($D$8,0.018,0.017,0.016)</x:f>
        <x:v>0.017</x:v>
      </x:c>
      <x:c r="J43" s="90" t="n">
        <x:f>CHOOSE($D$8,0.018,0.017,0.016)</x:f>
        <x:v>0.017</x:v>
      </x:c>
      <x:c r="K43" s="90" t="n">
        <x:f>CHOOSE($D$8,0.018,0.017,0.016)</x:f>
        <x:v>0.017</x:v>
      </x:c>
    </x:row>
    <x:row r="44">
      <x:c r="A44" s="71"/>
      <x:c r="B44" s="71"/>
      <x:c r="C44" s="71" t="str">
        <x:v>Debt repayment as % opening debt</x:v>
      </x:c>
      <x:c r="D44" s="88" t="str">
        <x:v>Downside</x:v>
      </x:c>
      <x:c r="E44" s="88" t="str">
        <x:v>Base</x:v>
      </x:c>
      <x:c r="F44" s="88" t="str">
        <x:v>Upside</x:v>
      </x:c>
      <x:c r="G44" s="89" t="n">
        <x:f>CHOOSE($D$8,0.03,0.05,0.07)</x:f>
        <x:v>0.05</x:v>
      </x:c>
      <x:c r="H44" s="90" t="n">
        <x:f>CHOOSE($D$8,0.03,0.05,0.07)</x:f>
        <x:v>0.05</x:v>
      </x:c>
      <x:c r="I44" s="90" t="n">
        <x:f>CHOOSE($D$8,0.03,0.05,0.07)</x:f>
        <x:v>0.05</x:v>
      </x:c>
      <x:c r="J44" s="90" t="n">
        <x:f>CHOOSE($D$8,0.03,0.05,0.07)</x:f>
        <x:v>0.05</x:v>
      </x:c>
      <x:c r="K44" s="90" t="n">
        <x:f>CHOOSE($D$8,0.03,0.05,0.07)</x:f>
        <x:v>0.05</x:v>
      </x:c>
    </x:row>
    <x:row r="45">
      <x:c r="A45" s="71"/>
      <x:c r="B45" s="71"/>
      <x:c r="C45" s="71" t="str">
        <x:v>Effective interest rate</x:v>
      </x:c>
      <x:c r="D45" s="88" t="str">
        <x:v>Downside</x:v>
      </x:c>
      <x:c r="E45" s="88" t="str">
        <x:v>Base</x:v>
      </x:c>
      <x:c r="F45" s="88" t="str">
        <x:v>Upside</x:v>
      </x:c>
      <x:c r="G45" s="89" t="n">
        <x:f>CHOOSE($D$8,0.05,0.045,0.04)</x:f>
        <x:v>0.045</x:v>
      </x:c>
      <x:c r="H45" s="90" t="n">
        <x:f>CHOOSE($D$8,0.052,0.045,0.04)</x:f>
        <x:v>0.045</x:v>
      </x:c>
      <x:c r="I45" s="90" t="n">
        <x:f>CHOOSE($D$8,0.052,0.045,0.04)</x:f>
        <x:v>0.045</x:v>
      </x:c>
      <x:c r="J45" s="90" t="n">
        <x:f>CHOOSE($D$8,0.052,0.045,0.04)</x:f>
        <x:v>0.045</x:v>
      </x:c>
      <x:c r="K45" s="90" t="n">
        <x:f>CHOOSE($D$8,0.052,0.045,0.04)</x:f>
        <x:v>0.045</x:v>
      </x:c>
    </x:row>
    <x:row r="46">
      <x:c r="A46" s="71"/>
      <x:c r="B46" s="71"/>
      <x:c r="C46" s="71" t="str">
        <x:v>Parent dividend payout</x:v>
      </x:c>
      <x:c r="D46" s="88" t="str">
        <x:v>Downside</x:v>
      </x:c>
      <x:c r="E46" s="88" t="str">
        <x:v>Base</x:v>
      </x:c>
      <x:c r="F46" s="88" t="str">
        <x:v>Upside</x:v>
      </x:c>
      <x:c r="G46" s="89" t="n">
        <x:f>CHOOSE($D$8,0.85,0.7,0.65)</x:f>
        <x:v>0.7</x:v>
      </x:c>
      <x:c r="H46" s="90" t="n">
        <x:f>CHOOSE($D$8,0.8,0.7,0.65)</x:f>
        <x:v>0.7</x:v>
      </x:c>
      <x:c r="I46" s="90" t="n">
        <x:f>CHOOSE($D$8,0.75,0.7,0.65)</x:f>
        <x:v>0.7</x:v>
      </x:c>
      <x:c r="J46" s="90" t="n">
        <x:f>CHOOSE($D$8,0.75,0.7,0.65)</x:f>
        <x:v>0.7</x:v>
      </x:c>
      <x:c r="K46" s="90" t="n">
        <x:f>CHOOSE($D$8,0.75,0.7,0.65)</x:f>
        <x:v>0.7</x:v>
      </x:c>
    </x:row>
    <x:row r="47">
      <x:c r="A47" s="71"/>
      <x:c r="B47" s="71"/>
      <x:c r="C47" s="71" t="str">
        <x:v>NCI dividend payout</x:v>
      </x:c>
      <x:c r="D47" s="88" t="str">
        <x:v>Downside</x:v>
      </x:c>
      <x:c r="E47" s="88" t="str">
        <x:v>Base</x:v>
      </x:c>
      <x:c r="F47" s="88" t="str">
        <x:v>Upside</x:v>
      </x:c>
      <x:c r="G47" s="89" t="n">
        <x:f>CHOOSE($D$8,0.8,0.7,0.6)</x:f>
        <x:v>0.7</x:v>
      </x:c>
      <x:c r="H47" s="90" t="n">
        <x:f>CHOOSE($D$8,0.8,0.7,0.6)</x:f>
        <x:v>0.7</x:v>
      </x:c>
      <x:c r="I47" s="90" t="n">
        <x:f>CHOOSE($D$8,0.8,0.7,0.6)</x:f>
        <x:v>0.7</x:v>
      </x:c>
      <x:c r="J47" s="90" t="n">
        <x:f>CHOOSE($D$8,0.8,0.7,0.6)</x:f>
        <x:v>0.7</x:v>
      </x:c>
      <x:c r="K47" s="90" t="n">
        <x:f>CHOOSE($D$8,0.8,0.7,0.6)</x:f>
        <x:v>0.7</x:v>
      </x:c>
    </x:row>
    <x:row r="48">
      <x:c r="A48" s="71"/>
      <x:c r="B48" s="71"/>
      <x:c r="C48" s="71" t="str">
        <x:v>Minimum cash balance ($m)</x:v>
      </x:c>
      <x:c r="D48" s="71"/>
      <x:c r="E48" s="71"/>
      <x:c r="F48" s="71"/>
      <x:c r="G48" s="97" t="n">
        <x:f>CHOOSE($D$8,500,500,500)</x:f>
        <x:v>500</x:v>
      </x:c>
      <x:c r="H48" s="98" t="n">
        <x:f>CHOOSE($D$8,500,500,500)</x:f>
        <x:v>500</x:v>
      </x:c>
      <x:c r="I48" s="98" t="n">
        <x:f>CHOOSE($D$8,500,500,500)</x:f>
        <x:v>500</x:v>
      </x:c>
      <x:c r="J48" s="98" t="n">
        <x:f>CHOOSE($D$8,500,500,500)</x:f>
        <x:v>500</x:v>
      </x:c>
      <x:c r="K48" s="98" t="n">
        <x:f>CHOOSE($D$8,500,500,500)</x:f>
        <x:v>500</x:v>
      </x:c>
    </x:row>
    <x:row r="49">
      <x:c r="A49" s="71"/>
      <x:c r="B49" s="71"/>
      <x:c r="C49" s="71"/>
      <x:c r="D49" s="71"/>
      <x:c r="E49" s="71"/>
      <x:c r="F49" s="71"/>
      <x:c r="G49" s="92"/>
      <x:c r="H49" s="92"/>
      <x:c r="I49" s="92"/>
      <x:c r="J49" s="92"/>
      <x:c r="K49" s="92"/>
    </x:row>
    <x:row r="50">
      <x:c r="A50" s="71"/>
      <x:c r="B50" s="71"/>
      <x:c r="C50" s="71"/>
      <x:c r="D50" s="71"/>
      <x:c r="E50" s="71"/>
      <x:c r="F50" s="71"/>
      <x:c r="G50" s="92"/>
      <x:c r="H50" s="92"/>
      <x:c r="I50" s="92"/>
      <x:c r="J50" s="92"/>
      <x:c r="K50" s="92"/>
    </x:row>
    <x:row r="51">
      <x:c r="A51" s="71"/>
      <x:c r="B51" s="71"/>
      <x:c r="C51" s="71"/>
      <x:c r="D51" s="71"/>
      <x:c r="E51" s="71"/>
      <x:c r="F51" s="71"/>
      <x:c r="G51" s="92"/>
      <x:c r="H51" s="92"/>
      <x:c r="I51" s="92"/>
      <x:c r="J51" s="92"/>
      <x:c r="K51" s="92"/>
    </x:row>
    <x:row r="52">
      <x:c r="A52" s="71"/>
      <x:c r="B52" s="71"/>
      <x:c r="C52" s="71"/>
      <x:c r="D52" s="71"/>
      <x:c r="E52" s="71"/>
      <x:c r="F52" s="71"/>
      <x:c r="G52" s="92"/>
      <x:c r="H52" s="92"/>
      <x:c r="I52" s="92"/>
      <x:c r="J52" s="92"/>
      <x:c r="K52" s="92"/>
    </x:row>
    <x:row r="53">
      <x:c r="A53" s="71"/>
      <x:c r="B53" s="71"/>
      <x:c r="C53" s="71"/>
      <x:c r="D53" s="71"/>
      <x:c r="E53" s="71"/>
      <x:c r="F53" s="71"/>
      <x:c r="G53" s="92"/>
      <x:c r="H53" s="92"/>
      <x:c r="I53" s="92"/>
      <x:c r="J53" s="92"/>
      <x:c r="K53" s="92"/>
    </x:row>
    <x:row r="54">
      <x:c r="A54" s="71"/>
      <x:c r="B54" s="71"/>
      <x:c r="C54" s="71"/>
      <x:c r="D54" s="71"/>
      <x:c r="E54" s="71"/>
      <x:c r="F54" s="71"/>
      <x:c r="G54" s="92"/>
      <x:c r="H54" s="92"/>
      <x:c r="I54" s="92"/>
      <x:c r="J54" s="92"/>
      <x:c r="K54" s="92"/>
    </x:row>
    <x:row r="55">
      <x:c r="A55" s="71"/>
      <x:c r="B55" s="71"/>
      <x:c r="C55" s="71"/>
      <x:c r="D55" s="71"/>
      <x:c r="E55" s="71"/>
      <x:c r="F55" s="71"/>
      <x:c r="G55" s="92"/>
      <x:c r="H55" s="92"/>
      <x:c r="I55" s="92"/>
      <x:c r="J55" s="92"/>
      <x:c r="K55" s="92"/>
    </x:row>
    <x:row r="56">
      <x:c r="A56" s="99"/>
      <x:c r="B56" s="99"/>
      <x:c r="C56" s="99"/>
      <x:c r="D56" s="99"/>
      <x:c r="E56" s="99"/>
      <x:c r="F56" s="99"/>
      <x:c r="G56" s="100"/>
      <x:c r="H56" s="100"/>
      <x:c r="I56" s="100"/>
      <x:c r="J56" s="100"/>
      <x:c r="K56" s="100"/>
    </x:row>
    <x:row r="57">
      <x:c r="A57" s="99"/>
      <x:c r="B57" s="99"/>
      <x:c r="C57" s="99"/>
      <x:c r="D57" s="99"/>
      <x:c r="E57" s="99"/>
      <x:c r="F57" s="99"/>
      <x:c r="G57" s="100"/>
      <x:c r="H57" s="100"/>
      <x:c r="I57" s="100"/>
      <x:c r="J57" s="100"/>
      <x:c r="K57" s="100"/>
    </x:row>
    <x:row r="58">
      <x:c r="A58" s="99"/>
      <x:c r="B58" s="99"/>
      <x:c r="C58" s="99"/>
      <x:c r="D58" s="99"/>
      <x:c r="E58" s="99"/>
      <x:c r="F58" s="99"/>
      <x:c r="G58" s="100"/>
      <x:c r="H58" s="100"/>
      <x:c r="I58" s="100"/>
      <x:c r="J58" s="100"/>
      <x:c r="K58" s="100"/>
    </x:row>
    <x:row r="59">
      <x:c r="A59" s="99"/>
      <x:c r="B59" s="99"/>
      <x:c r="C59" s="99"/>
      <x:c r="D59" s="99"/>
      <x:c r="E59" s="99"/>
      <x:c r="F59" s="99"/>
      <x:c r="G59" s="100"/>
      <x:c r="H59" s="100"/>
      <x:c r="I59" s="100"/>
      <x:c r="J59" s="100"/>
      <x:c r="K59" s="100"/>
    </x:row>
    <x:row r="60">
      <x:c r="A60" s="99"/>
      <x:c r="B60" s="99"/>
      <x:c r="C60" s="99"/>
      <x:c r="D60" s="99"/>
      <x:c r="E60" s="99"/>
      <x:c r="F60" s="99"/>
      <x:c r="G60" s="100"/>
      <x:c r="H60" s="100"/>
      <x:c r="I60" s="100"/>
      <x:c r="J60" s="100"/>
      <x:c r="K60" s="100"/>
    </x:row>
    <x:row r="61">
      <x:c r="A61" s="99"/>
      <x:c r="B61" s="99"/>
      <x:c r="C61" s="99"/>
      <x:c r="D61" s="99"/>
      <x:c r="E61" s="99"/>
      <x:c r="F61" s="99"/>
      <x:c r="G61" s="100"/>
      <x:c r="H61" s="100"/>
      <x:c r="I61" s="100"/>
      <x:c r="J61" s="100"/>
      <x:c r="K61" s="100"/>
    </x:row>
    <x:row r="62">
      <x:c r="A62" s="99"/>
      <x:c r="B62" s="99"/>
      <x:c r="C62" s="99"/>
      <x:c r="D62" s="99"/>
      <x:c r="E62" s="99"/>
      <x:c r="F62" s="99"/>
      <x:c r="G62" s="100"/>
      <x:c r="H62" s="100"/>
      <x:c r="I62" s="100"/>
      <x:c r="J62" s="100"/>
      <x:c r="K62" s="100"/>
    </x:row>
    <x:row r="63">
      <x:c r="A63" s="99"/>
      <x:c r="B63" s="99"/>
      <x:c r="C63" s="99"/>
      <x:c r="D63" s="99"/>
      <x:c r="E63" s="99"/>
      <x:c r="F63" s="99"/>
      <x:c r="G63" s="100"/>
      <x:c r="H63" s="100"/>
      <x:c r="I63" s="100"/>
      <x:c r="J63" s="100"/>
      <x:c r="K63" s="100"/>
    </x:row>
    <x:row r="64">
      <x:c r="A64" s="99"/>
      <x:c r="B64" s="99"/>
      <x:c r="C64" s="99"/>
      <x:c r="D64" s="99"/>
      <x:c r="E64" s="99"/>
      <x:c r="F64" s="99"/>
      <x:c r="G64" s="100"/>
      <x:c r="H64" s="100"/>
      <x:c r="I64" s="100"/>
      <x:c r="J64" s="100"/>
      <x:c r="K64" s="100"/>
    </x:row>
    <x:row r="65">
      <x:c r="A65" s="99"/>
      <x:c r="B65" s="99"/>
      <x:c r="C65" s="99"/>
      <x:c r="D65" s="99"/>
      <x:c r="E65" s="99"/>
      <x:c r="F65" s="99"/>
      <x:c r="G65" s="100"/>
      <x:c r="H65" s="100"/>
      <x:c r="I65" s="100"/>
      <x:c r="J65" s="100"/>
      <x:c r="K65" s="100"/>
    </x:row>
    <x:row r="66">
      <x:c r="A66" s="99"/>
      <x:c r="B66" s="99"/>
      <x:c r="C66" s="99"/>
      <x:c r="D66" s="99"/>
      <x:c r="E66" s="99"/>
      <x:c r="F66" s="99"/>
      <x:c r="G66" s="100"/>
      <x:c r="H66" s="100"/>
      <x:c r="I66" s="100"/>
      <x:c r="J66" s="100"/>
      <x:c r="K66" s="100"/>
    </x:row>
    <x:row r="67">
      <x:c r="A67" s="99"/>
      <x:c r="B67" s="99"/>
      <x:c r="C67" s="99"/>
      <x:c r="D67" s="99"/>
      <x:c r="E67" s="99"/>
      <x:c r="F67" s="99"/>
      <x:c r="G67" s="100"/>
      <x:c r="H67" s="100"/>
      <x:c r="I67" s="100"/>
      <x:c r="J67" s="100"/>
      <x:c r="K67" s="100"/>
    </x:row>
    <x:row r="68">
      <x:c r="A68" s="99"/>
      <x:c r="B68" s="99"/>
      <x:c r="C68" s="99"/>
      <x:c r="D68" s="99"/>
      <x:c r="E68" s="99"/>
      <x:c r="F68" s="99"/>
      <x:c r="G68" s="100"/>
      <x:c r="H68" s="100"/>
      <x:c r="I68" s="100"/>
      <x:c r="J68" s="100"/>
      <x:c r="K68" s="100"/>
    </x:row>
    <x:row r="69">
      <x:c r="A69" s="99"/>
      <x:c r="B69" s="99"/>
      <x:c r="C69" s="99"/>
      <x:c r="D69" s="99"/>
      <x:c r="E69" s="99"/>
      <x:c r="F69" s="99"/>
      <x:c r="G69" s="100"/>
      <x:c r="H69" s="100"/>
      <x:c r="I69" s="100"/>
      <x:c r="J69" s="100"/>
      <x:c r="K69" s="100"/>
    </x:row>
    <x:row r="70">
      <x:c r="A70" s="99"/>
      <x:c r="B70" s="99"/>
      <x:c r="C70" s="99"/>
      <x:c r="D70" s="99"/>
      <x:c r="E70" s="99"/>
      <x:c r="F70" s="99"/>
      <x:c r="G70" s="100"/>
      <x:c r="H70" s="100"/>
      <x:c r="I70" s="100"/>
      <x:c r="J70" s="100"/>
      <x:c r="K70" s="100"/>
    </x:row>
    <x:row r="71">
      <x:c r="A71" s="99"/>
      <x:c r="B71" s="99"/>
      <x:c r="C71" s="99"/>
      <x:c r="D71" s="99"/>
      <x:c r="E71" s="99"/>
      <x:c r="F71" s="99"/>
      <x:c r="G71" s="100"/>
      <x:c r="H71" s="100"/>
      <x:c r="I71" s="100"/>
      <x:c r="J71" s="100"/>
      <x:c r="K71" s="100"/>
    </x:row>
    <x:row r="72">
      <x:c r="A72" s="99"/>
      <x:c r="B72" s="99"/>
      <x:c r="C72" s="99"/>
      <x:c r="D72" s="99"/>
      <x:c r="E72" s="99"/>
      <x:c r="F72" s="99"/>
      <x:c r="G72" s="100"/>
      <x:c r="H72" s="100"/>
      <x:c r="I72" s="100"/>
      <x:c r="J72" s="100"/>
      <x:c r="K72" s="100"/>
    </x:row>
    <x:row r="73">
      <x:c r="A73" s="99"/>
      <x:c r="B73" s="99"/>
      <x:c r="C73" s="99"/>
      <x:c r="D73" s="99"/>
      <x:c r="E73" s="99"/>
      <x:c r="F73" s="99"/>
      <x:c r="G73" s="100"/>
      <x:c r="H73" s="100"/>
      <x:c r="I73" s="100"/>
      <x:c r="J73" s="100"/>
      <x:c r="K73" s="100"/>
    </x:row>
    <x:row r="74">
      <x:c r="A74" s="99"/>
      <x:c r="B74" s="99"/>
      <x:c r="C74" s="99"/>
      <x:c r="D74" s="99"/>
      <x:c r="E74" s="99"/>
      <x:c r="F74" s="99"/>
      <x:c r="G74" s="100"/>
      <x:c r="H74" s="100"/>
      <x:c r="I74" s="100"/>
      <x:c r="J74" s="100"/>
      <x:c r="K74" s="100"/>
    </x:row>
    <x:row r="75">
      <x:c r="A75" s="99"/>
      <x:c r="B75" s="99"/>
      <x:c r="C75" s="99"/>
      <x:c r="D75" s="99"/>
      <x:c r="E75" s="99"/>
      <x:c r="F75" s="99"/>
      <x:c r="G75" s="100"/>
      <x:c r="H75" s="100"/>
      <x:c r="I75" s="100"/>
      <x:c r="J75" s="100"/>
      <x:c r="K75" s="100"/>
    </x:row>
    <x:row r="76">
      <x:c r="A76" s="99"/>
      <x:c r="B76" s="99"/>
      <x:c r="C76" s="99"/>
      <x:c r="D76" s="99"/>
      <x:c r="E76" s="99"/>
      <x:c r="F76" s="99"/>
      <x:c r="G76" s="100"/>
      <x:c r="H76" s="100"/>
      <x:c r="I76" s="100"/>
      <x:c r="J76" s="100"/>
      <x:c r="K76" s="100"/>
    </x:row>
    <x:row r="77">
      <x:c r="A77" s="99"/>
      <x:c r="B77" s="99"/>
      <x:c r="C77" s="99"/>
      <x:c r="D77" s="99"/>
      <x:c r="E77" s="99"/>
      <x:c r="F77" s="99"/>
      <x:c r="G77" s="100"/>
      <x:c r="H77" s="100"/>
      <x:c r="I77" s="100"/>
      <x:c r="J77" s="100"/>
      <x:c r="K77" s="100"/>
    </x:row>
    <x:row r="78">
      <x:c r="A78" s="99"/>
      <x:c r="B78" s="99"/>
      <x:c r="C78" s="99"/>
      <x:c r="D78" s="99"/>
      <x:c r="E78" s="99"/>
      <x:c r="F78" s="99"/>
      <x:c r="G78" s="100"/>
      <x:c r="H78" s="100"/>
      <x:c r="I78" s="100"/>
      <x:c r="J78" s="100"/>
      <x:c r="K78" s="100"/>
    </x:row>
    <x:row r="79">
      <x:c r="A79" s="99"/>
      <x:c r="B79" s="99"/>
      <x:c r="C79" s="99"/>
      <x:c r="D79" s="99"/>
      <x:c r="E79" s="99"/>
      <x:c r="F79" s="99"/>
      <x:c r="G79" s="100"/>
      <x:c r="H79" s="100"/>
      <x:c r="I79" s="100"/>
      <x:c r="J79" s="100"/>
      <x:c r="K79" s="100"/>
    </x:row>
    <x:row r="80">
      <x:c r="A80" s="99"/>
      <x:c r="B80" s="99"/>
      <x:c r="C80" s="99"/>
      <x:c r="D80" s="99"/>
      <x:c r="E80" s="99"/>
      <x:c r="F80" s="99"/>
      <x:c r="G80" s="100"/>
      <x:c r="H80" s="100"/>
      <x:c r="I80" s="100"/>
      <x:c r="J80" s="100"/>
      <x:c r="K80" s="100"/>
    </x:row>
    <x:row r="81">
      <x:c r="A81" s="99"/>
      <x:c r="B81" s="99"/>
      <x:c r="C81" s="99"/>
      <x:c r="D81" s="99"/>
      <x:c r="E81" s="99"/>
      <x:c r="F81" s="99"/>
      <x:c r="G81" s="100"/>
      <x:c r="H81" s="100"/>
      <x:c r="I81" s="100"/>
      <x:c r="J81" s="100"/>
      <x:c r="K81" s="100"/>
    </x:row>
    <x:row r="82">
      <x:c r="A82" s="99"/>
      <x:c r="B82" s="99"/>
      <x:c r="C82" s="99"/>
      <x:c r="D82" s="99"/>
      <x:c r="E82" s="99"/>
      <x:c r="F82" s="99"/>
      <x:c r="G82" s="100"/>
      <x:c r="H82" s="100"/>
      <x:c r="I82" s="100"/>
      <x:c r="J82" s="100"/>
      <x:c r="K82" s="100"/>
    </x:row>
    <x:row r="83">
      <x:c r="A83" s="99"/>
      <x:c r="B83" s="99"/>
      <x:c r="C83" s="99"/>
      <x:c r="D83" s="99"/>
      <x:c r="E83" s="99"/>
      <x:c r="F83" s="99"/>
      <x:c r="G83" s="100"/>
      <x:c r="H83" s="100"/>
      <x:c r="I83" s="100"/>
      <x:c r="J83" s="100"/>
      <x:c r="K83" s="100"/>
    </x:row>
    <x:row r="84">
      <x:c r="A84" s="99"/>
      <x:c r="B84" s="99"/>
      <x:c r="C84" s="99"/>
      <x:c r="D84" s="99"/>
      <x:c r="E84" s="99"/>
      <x:c r="F84" s="99"/>
      <x:c r="G84" s="100"/>
      <x:c r="H84" s="100"/>
      <x:c r="I84" s="100"/>
      <x:c r="J84" s="100"/>
      <x:c r="K84" s="100"/>
    </x:row>
    <x:row r="85">
      <x:c r="A85" s="99"/>
      <x:c r="B85" s="99"/>
      <x:c r="C85" s="99"/>
      <x:c r="D85" s="99"/>
      <x:c r="E85" s="99"/>
      <x:c r="F85" s="99"/>
      <x:c r="G85" s="100"/>
      <x:c r="H85" s="100"/>
      <x:c r="I85" s="100"/>
      <x:c r="J85" s="100"/>
      <x:c r="K85" s="100"/>
    </x:row>
    <x:row r="86">
      <x:c r="A86" s="99"/>
      <x:c r="B86" s="99"/>
      <x:c r="C86" s="99"/>
      <x:c r="D86" s="99"/>
      <x:c r="E86" s="99"/>
      <x:c r="F86" s="99"/>
      <x:c r="G86" s="100"/>
      <x:c r="H86" s="100"/>
      <x:c r="I86" s="100"/>
      <x:c r="J86" s="100"/>
      <x:c r="K86" s="100"/>
    </x:row>
    <x:row r="87">
      <x:c r="A87" s="99"/>
      <x:c r="B87" s="99"/>
      <x:c r="C87" s="99"/>
      <x:c r="D87" s="99"/>
      <x:c r="E87" s="99"/>
      <x:c r="F87" s="99"/>
      <x:c r="G87" s="100"/>
      <x:c r="H87" s="100"/>
      <x:c r="I87" s="100"/>
      <x:c r="J87" s="100"/>
      <x:c r="K87" s="100"/>
    </x:row>
    <x:row r="88">
      <x:c r="A88" s="99"/>
      <x:c r="B88" s="99"/>
      <x:c r="C88" s="99"/>
      <x:c r="D88" s="99"/>
      <x:c r="E88" s="99"/>
      <x:c r="F88" s="99"/>
      <x:c r="G88" s="100"/>
      <x:c r="H88" s="100"/>
      <x:c r="I88" s="100"/>
      <x:c r="J88" s="100"/>
      <x:c r="K88" s="100"/>
    </x:row>
    <x:row r="89">
      <x:c r="A89" s="99"/>
      <x:c r="B89" s="99"/>
      <x:c r="C89" s="99"/>
      <x:c r="D89" s="99"/>
      <x:c r="E89" s="99"/>
      <x:c r="F89" s="99"/>
      <x:c r="G89" s="100"/>
      <x:c r="H89" s="100"/>
      <x:c r="I89" s="100"/>
      <x:c r="J89" s="100"/>
      <x:c r="K89" s="100"/>
    </x:row>
    <x:row r="90">
      <x:c r="A90" s="99"/>
      <x:c r="B90" s="99"/>
      <x:c r="C90" s="99"/>
      <x:c r="D90" s="99"/>
      <x:c r="E90" s="99"/>
      <x:c r="F90" s="99"/>
      <x:c r="G90" s="100"/>
      <x:c r="H90" s="100"/>
      <x:c r="I90" s="100"/>
      <x:c r="J90" s="100"/>
      <x:c r="K90" s="100"/>
    </x:row>
  </x:sheetData>
  <x:dataValidations count="1">
    <x:dataValidation type="whole" operator="between" sqref="D8">
      <x:formula1>1</x:formula1>
      <x:formula2>3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6A6A6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4" hidden="0" customWidth="1"/>
    <x:col min="4" max="4" width="13" hidden="0" customWidth="1"/>
    <x:col min="5" max="5" width="13" hidden="0" customWidth="1"/>
    <x:col min="6" max="6" width="55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71"/>
      <x:c r="B1" s="71"/>
      <x:c r="C1" s="79"/>
      <x:c r="D1" s="71"/>
      <x:c r="E1" s="71"/>
      <x:c r="F1" s="71"/>
      <x:c r="G1" s="71"/>
      <x:c r="H1" s="71"/>
      <x:c r="I1" s="71"/>
      <x:c r="J1" s="71"/>
      <x:c r="K1" s="71"/>
    </x:row>
    <x:row r="2">
      <x:c r="A2" s="71"/>
      <x:c r="B2" s="71"/>
      <x:c r="C2" s="72" t="str">
        <x:v>Historical financial statements</x:v>
      </x:c>
      <x:c r="D2" s="71"/>
      <x:c r="E2" s="71"/>
      <x:c r="F2" s="71"/>
      <x:c r="G2" s="71"/>
      <x:c r="H2" s="71"/>
      <x:c r="I2" s="71"/>
      <x:c r="J2" s="71"/>
      <x:c r="K2" s="71"/>
    </x:row>
    <x:row r="3">
      <x:c r="A3" s="71"/>
      <x:c r="B3" s="71"/>
      <x:c r="C3" s="73" t="str">
        <x:v>Reported data | US$ millions except per-share data | Source: Diageo FY2026/FY2025 reports</x:v>
      </x:c>
      <x:c r="D3" s="73"/>
      <x:c r="E3" s="73"/>
      <x:c r="F3" s="73"/>
      <x:c r="G3" s="73"/>
      <x:c r="H3" s="73"/>
      <x:c r="I3" s="73"/>
      <x:c r="J3" s="73"/>
      <x:c r="K3" s="73"/>
    </x:row>
    <x:row r="4">
      <x:c r="A4" s="71"/>
      <x:c r="B4" s="71"/>
      <x:c r="C4" s="74"/>
      <x:c r="D4" s="74"/>
      <x:c r="E4" s="74"/>
      <x:c r="F4" s="74"/>
      <x:c r="G4" s="74"/>
      <x:c r="H4" s="74"/>
      <x:c r="I4" s="74"/>
      <x:c r="J4" s="74"/>
      <x:c r="K4" s="74"/>
    </x:row>
    <x:row r="5">
      <x:c r="A5" s="71"/>
      <x:c r="B5" s="71"/>
      <x:c r="C5" s="71"/>
      <x:c r="D5" s="71"/>
      <x:c r="E5" s="71"/>
      <x:c r="F5" s="71"/>
      <x:c r="G5" s="71"/>
      <x:c r="H5" s="71"/>
      <x:c r="I5" s="71"/>
      <x:c r="J5" s="71"/>
      <x:c r="K5" s="71"/>
    </x:row>
    <x:row r="6">
      <x:c r="A6" s="71"/>
      <x:c r="B6" s="71"/>
      <x:c r="C6" s="71"/>
      <x:c r="D6" s="80" t="str">
        <x:v>FY:24A</x:v>
      </x:c>
      <x:c r="E6" s="80" t="str">
        <x:v>FY:25A</x:v>
      </x:c>
      <x:c r="F6" s="80" t="str">
        <x:v>FY:26A</x:v>
      </x:c>
      <x:c r="G6" s="81" t="str">
        <x:v>FY:27E</x:v>
      </x:c>
      <x:c r="H6" s="82" t="str">
        <x:v>FY:28E</x:v>
      </x:c>
      <x:c r="I6" s="82" t="str">
        <x:v>FY:29E</x:v>
      </x:c>
      <x:c r="J6" s="82" t="str">
        <x:v>FY:30E</x:v>
      </x:c>
      <x:c r="K6" s="82" t="str">
        <x:v>FY:31E</x:v>
      </x:c>
    </x:row>
    <x:row r="7">
      <x:c r="A7" s="71"/>
      <x:c r="B7" s="71"/>
      <x:c r="C7" s="71"/>
      <x:c r="D7" s="71"/>
      <x:c r="E7" s="71"/>
      <x:c r="F7" s="71"/>
      <x:c r="G7" s="83"/>
      <x:c r="H7" s="71"/>
      <x:c r="I7" s="71"/>
      <x:c r="J7" s="71"/>
      <x:c r="K7" s="71"/>
    </x:row>
    <x:row r="8">
      <x:c r="A8" s="71"/>
      <x:c r="B8" s="71"/>
      <x:c r="C8" s="75" t="str">
        <x:v>Income statement</x:v>
      </x:c>
      <x:c r="D8" s="75"/>
      <x:c r="E8" s="75"/>
      <x:c r="F8" s="75"/>
      <x:c r="G8" s="85"/>
      <x:c r="H8" s="75"/>
      <x:c r="I8" s="75"/>
      <x:c r="J8" s="75"/>
      <x:c r="K8" s="75"/>
    </x:row>
    <x:row r="9">
      <x:c r="A9" s="71"/>
      <x:c r="B9" s="71"/>
      <x:c r="C9" s="71" t="str">
        <x:v>Net sales</x:v>
      </x:c>
      <x:c r="D9" s="101" t="n">
        <x:v>20269</x:v>
      </x:c>
      <x:c r="E9" s="101" t="n">
        <x:v>20245</x:v>
      </x:c>
      <x:c r="F9" s="101" t="n">
        <x:v>19643</x:v>
      </x:c>
      <x:c r="G9" s="83"/>
      <x:c r="H9" s="71"/>
      <x:c r="I9" s="71"/>
      <x:c r="J9" s="71"/>
      <x:c r="K9" s="71"/>
    </x:row>
    <x:row r="10">
      <x:c r="A10" s="71"/>
      <x:c r="B10" s="71"/>
      <x:c r="C10" s="71" t="str">
        <x:v>Cost of sales</x:v>
      </x:c>
      <x:c r="D10" s="101" t="n">
        <x:v>8071</x:v>
      </x:c>
      <x:c r="E10" s="101" t="n">
        <x:v>8072</x:v>
      </x:c>
      <x:c r="F10" s="101" t="n">
        <x:v>7962</x:v>
      </x:c>
      <x:c r="G10" s="83"/>
      <x:c r="H10" s="71"/>
      <x:c r="I10" s="71"/>
      <x:c r="J10" s="71"/>
      <x:c r="K10" s="71"/>
    </x:row>
    <x:row r="11">
      <x:c r="A11" s="71"/>
      <x:c r="B11" s="71"/>
      <x:c r="C11" s="102" t="str">
        <x:v>Gross profit</x:v>
      </x:c>
      <x:c r="D11" s="103" t="n">
        <x:v>12198</x:v>
      </x:c>
      <x:c r="E11" s="103" t="n">
        <x:v>12173</x:v>
      </x:c>
      <x:c r="F11" s="103" t="n">
        <x:v>11681</x:v>
      </x:c>
      <x:c r="G11" s="104"/>
      <x:c r="H11" s="102"/>
      <x:c r="I11" s="102"/>
      <x:c r="J11" s="102"/>
      <x:c r="K11" s="102"/>
    </x:row>
    <x:row r="12">
      <x:c r="A12" s="71"/>
      <x:c r="B12" s="71"/>
      <x:c r="C12" s="71" t="str">
        <x:v>Marketing</x:v>
      </x:c>
      <x:c r="D12" s="101" t="n">
        <x:v>3691</x:v>
      </x:c>
      <x:c r="E12" s="101" t="n">
        <x:v>3662</x:v>
      </x:c>
      <x:c r="F12" s="101" t="n">
        <x:v>3183</x:v>
      </x:c>
      <x:c r="G12" s="83"/>
      <x:c r="H12" s="71"/>
      <x:c r="I12" s="71"/>
      <x:c r="J12" s="71"/>
      <x:c r="K12" s="71"/>
    </x:row>
    <x:row r="13">
      <x:c r="A13" s="71"/>
      <x:c r="B13" s="71"/>
      <x:c r="C13" s="71" t="str">
        <x:v>Other operating items</x:v>
      </x:c>
      <x:c r="D13" s="101" t="n">
        <x:v>2506</x:v>
      </x:c>
      <x:c r="E13" s="101" t="n">
        <x:v>4176</x:v>
      </x:c>
      <x:c r="F13" s="101" t="n">
        <x:v>5342</x:v>
      </x:c>
      <x:c r="G13" s="83"/>
      <x:c r="H13" s="71"/>
      <x:c r="I13" s="71"/>
      <x:c r="J13" s="71"/>
      <x:c r="K13" s="71"/>
    </x:row>
    <x:row r="14">
      <x:c r="A14" s="71"/>
      <x:c r="B14" s="71"/>
      <x:c r="C14" s="102" t="str">
        <x:v>Reported operating profit</x:v>
      </x:c>
      <x:c r="D14" s="103" t="n">
        <x:v>6001</x:v>
      </x:c>
      <x:c r="E14" s="103" t="n">
        <x:v>4335</x:v>
      </x:c>
      <x:c r="F14" s="103" t="n">
        <x:v>3156</x:v>
      </x:c>
      <x:c r="G14" s="104"/>
      <x:c r="H14" s="102"/>
      <x:c r="I14" s="102"/>
      <x:c r="J14" s="102"/>
      <x:c r="K14" s="102"/>
    </x:row>
    <x:row r="15">
      <x:c r="A15" s="71"/>
      <x:c r="B15" s="71"/>
      <x:c r="C15" s="71" t="str">
        <x:v>Exceptional operating items</x:v>
      </x:c>
      <x:c r="D15" s="101" t="n">
        <x:v>-56</x:v>
      </x:c>
      <x:c r="E15" s="101" t="n">
        <x:v>1369</x:v>
      </x:c>
      <x:c r="F15" s="101" t="n">
        <x:v>2527</x:v>
      </x:c>
      <x:c r="G15" s="83"/>
      <x:c r="H15" s="71"/>
      <x:c r="I15" s="71"/>
      <x:c r="J15" s="71"/>
      <x:c r="K15" s="71"/>
    </x:row>
    <x:row r="16">
      <x:c r="A16" s="71"/>
      <x:c r="B16" s="71"/>
      <x:c r="C16" s="102" t="str">
        <x:v>Operating profit before exceptional items</x:v>
      </x:c>
      <x:c r="D16" s="103" t="n">
        <x:v>5945</x:v>
      </x:c>
      <x:c r="E16" s="103" t="n">
        <x:v>5704</x:v>
      </x:c>
      <x:c r="F16" s="103" t="n">
        <x:v>5683</x:v>
      </x:c>
      <x:c r="G16" s="104"/>
      <x:c r="H16" s="102"/>
      <x:c r="I16" s="102"/>
      <x:c r="J16" s="102"/>
      <x:c r="K16" s="102"/>
    </x:row>
    <x:row r="17">
      <x:c r="A17" s="71"/>
      <x:c r="B17" s="71"/>
      <x:c r="C17" s="71" t="str">
        <x:v>Net finance charges</x:v>
      </x:c>
      <x:c r="D17" s="101" t="n">
        <x:v>885</x:v>
      </x:c>
      <x:c r="E17" s="101" t="n">
        <x:v>771</x:v>
      </x:c>
      <x:c r="F17" s="101" t="n">
        <x:v>816</x:v>
      </x:c>
      <x:c r="G17" s="83"/>
      <x:c r="H17" s="71"/>
      <x:c r="I17" s="71"/>
      <x:c r="J17" s="71"/>
      <x:c r="K17" s="71"/>
    </x:row>
    <x:row r="18">
      <x:c r="A18" s="71"/>
      <x:c r="B18" s="71"/>
      <x:c r="C18" s="71" t="str">
        <x:v>Non-operating items</x:v>
      </x:c>
      <x:c r="D18" s="101" t="n">
        <x:v>-70</x:v>
      </x:c>
      <x:c r="E18" s="101" t="n">
        <x:v>-220</x:v>
      </x:c>
      <x:c r="F18" s="101" t="n">
        <x:v>6</x:v>
      </x:c>
      <x:c r="G18" s="83"/>
      <x:c r="H18" s="71"/>
      <x:c r="I18" s="71"/>
      <x:c r="J18" s="71"/>
      <x:c r="K18" s="71"/>
    </x:row>
    <x:row r="19">
      <x:c r="A19" s="71"/>
      <x:c r="B19" s="71"/>
      <x:c r="C19" s="71" t="str">
        <x:v>Share of associates and JVs</x:v>
      </x:c>
      <x:c r="D19" s="101" t="n">
        <x:v>414</x:v>
      </x:c>
      <x:c r="E19" s="101" t="n">
        <x:v>193</x:v>
      </x:c>
      <x:c r="F19" s="101" t="n">
        <x:v>218</x:v>
      </x:c>
      <x:c r="G19" s="83"/>
      <x:c r="H19" s="71"/>
      <x:c r="I19" s="71"/>
      <x:c r="J19" s="71"/>
      <x:c r="K19" s="71"/>
    </x:row>
    <x:row r="20">
      <x:c r="A20" s="71"/>
      <x:c r="B20" s="71"/>
      <x:c r="C20" s="102" t="str">
        <x:v>Profit before tax</x:v>
      </x:c>
      <x:c r="D20" s="103" t="n">
        <x:v>5460</x:v>
      </x:c>
      <x:c r="E20" s="103" t="n">
        <x:v>3537</x:v>
      </x:c>
      <x:c r="F20" s="103" t="n">
        <x:v>2564</x:v>
      </x:c>
      <x:c r="G20" s="104"/>
      <x:c r="H20" s="102"/>
      <x:c r="I20" s="102"/>
      <x:c r="J20" s="102"/>
      <x:c r="K20" s="102"/>
    </x:row>
    <x:row r="21">
      <x:c r="A21" s="71"/>
      <x:c r="B21" s="71"/>
      <x:c r="C21" s="71" t="str">
        <x:v>Taxation</x:v>
      </x:c>
      <x:c r="D21" s="101" t="n">
        <x:v>1294</x:v>
      </x:c>
      <x:c r="E21" s="101" t="n">
        <x:v>999</x:v>
      </x:c>
      <x:c r="F21" s="101" t="n">
        <x:v>606</x:v>
      </x:c>
      <x:c r="G21" s="83"/>
      <x:c r="H21" s="71"/>
      <x:c r="I21" s="71"/>
      <x:c r="J21" s="71"/>
      <x:c r="K21" s="71"/>
    </x:row>
    <x:row r="22">
      <x:c r="A22" s="71"/>
      <x:c r="B22" s="71"/>
      <x:c r="C22" s="102" t="str">
        <x:v>Profit for the year</x:v>
      </x:c>
      <x:c r="D22" s="103" t="n">
        <x:v>4166</x:v>
      </x:c>
      <x:c r="E22" s="103" t="n">
        <x:v>2538</x:v>
      </x:c>
      <x:c r="F22" s="103" t="n">
        <x:v>1958</x:v>
      </x:c>
      <x:c r="G22" s="104"/>
      <x:c r="H22" s="102"/>
      <x:c r="I22" s="102"/>
      <x:c r="J22" s="102"/>
      <x:c r="K22" s="102"/>
    </x:row>
    <x:row r="23">
      <x:c r="A23" s="71"/>
      <x:c r="B23" s="71"/>
      <x:c r="C23" s="71" t="str">
        <x:v>NCI profit</x:v>
      </x:c>
      <x:c r="D23" s="101" t="n">
        <x:v>296</x:v>
      </x:c>
      <x:c r="E23" s="101" t="n">
        <x:v>184</x:v>
      </x:c>
      <x:c r="F23" s="101" t="n">
        <x:v>221</x:v>
      </x:c>
      <x:c r="G23" s="83"/>
      <x:c r="H23" s="71"/>
      <x:c r="I23" s="71"/>
      <x:c r="J23" s="71"/>
      <x:c r="K23" s="71"/>
    </x:row>
    <x:row r="24">
      <x:c r="A24" s="71"/>
      <x:c r="B24" s="71"/>
      <x:c r="C24" s="102" t="str">
        <x:v>Net income attributable to shareholders</x:v>
      </x:c>
      <x:c r="D24" s="103" t="n">
        <x:v>3870</x:v>
      </x:c>
      <x:c r="E24" s="103" t="n">
        <x:v>2354</x:v>
      </x:c>
      <x:c r="F24" s="103" t="n">
        <x:v>1737</x:v>
      </x:c>
      <x:c r="G24" s="104"/>
      <x:c r="H24" s="102"/>
      <x:c r="I24" s="102"/>
      <x:c r="J24" s="102"/>
      <x:c r="K24" s="102"/>
    </x:row>
    <x:row r="25">
      <x:c r="A25" s="71"/>
      <x:c r="B25" s="71"/>
      <x:c r="C25" s="71" t="str">
        <x:v>Diluted shares (m)</x:v>
      </x:c>
      <x:c r="D25" s="101" t="n">
        <x:v>2239</x:v>
      </x:c>
      <x:c r="E25" s="101" t="n">
        <x:v>2228</x:v>
      </x:c>
      <x:c r="F25" s="101" t="n">
        <x:v>2231</x:v>
      </x:c>
      <x:c r="G25" s="83"/>
      <x:c r="H25" s="71"/>
      <x:c r="I25" s="71"/>
      <x:c r="J25" s="71"/>
      <x:c r="K25" s="71"/>
    </x:row>
    <x:row r="26">
      <x:c r="A26" s="71"/>
      <x:c r="B26" s="71"/>
      <x:c r="C26" s="71" t="str">
        <x:v>Diluted EPS (cents)</x:v>
      </x:c>
      <x:c r="D26" s="105" t="n">
        <x:v>172.8</x:v>
      </x:c>
      <x:c r="E26" s="105" t="n">
        <x:v>105.7</x:v>
      </x:c>
      <x:c r="F26" s="105" t="n">
        <x:v>77.9</x:v>
      </x:c>
      <x:c r="G26" s="83"/>
      <x:c r="H26" s="71"/>
      <x:c r="I26" s="71"/>
      <x:c r="J26" s="71"/>
      <x:c r="K26" s="71"/>
    </x:row>
    <x:row r="27">
      <x:c r="A27" s="71"/>
      <x:c r="B27" s="71"/>
      <x:c r="C27" s="71"/>
      <x:c r="D27" s="71"/>
      <x:c r="E27" s="71"/>
      <x:c r="F27" s="71"/>
      <x:c r="G27" s="83"/>
      <x:c r="H27" s="71"/>
      <x:c r="I27" s="71"/>
      <x:c r="J27" s="71"/>
      <x:c r="K27" s="71"/>
    </x:row>
    <x:row r="28">
      <x:c r="A28" s="71"/>
      <x:c r="B28" s="71"/>
      <x:c r="C28" s="71"/>
      <x:c r="D28" s="71"/>
      <x:c r="E28" s="71"/>
      <x:c r="F28" s="71"/>
      <x:c r="G28" s="83"/>
      <x:c r="H28" s="71"/>
      <x:c r="I28" s="71"/>
      <x:c r="J28" s="71"/>
      <x:c r="K28" s="71"/>
    </x:row>
    <x:row r="29">
      <x:c r="A29" s="71"/>
      <x:c r="B29" s="71"/>
      <x:c r="C29" s="75" t="str">
        <x:v>Balance sheet</x:v>
      </x:c>
      <x:c r="D29" s="75"/>
      <x:c r="E29" s="75"/>
      <x:c r="F29" s="75"/>
      <x:c r="G29" s="85"/>
      <x:c r="H29" s="75"/>
      <x:c r="I29" s="75"/>
      <x:c r="J29" s="75"/>
      <x:c r="K29" s="75"/>
    </x:row>
    <x:row r="30">
      <x:c r="A30" s="71"/>
      <x:c r="B30" s="71"/>
      <x:c r="C30" s="71" t="str">
        <x:v>Intangible assets</x:v>
      </x:c>
      <x:c r="D30" s="101" t="n">
        <x:v>14814</x:v>
      </x:c>
      <x:c r="E30" s="101" t="n">
        <x:v>14776</x:v>
      </x:c>
      <x:c r="F30" s="101" t="n">
        <x:v>13375</x:v>
      </x:c>
      <x:c r="G30" s="83"/>
      <x:c r="H30" s="71"/>
      <x:c r="I30" s="71"/>
      <x:c r="J30" s="71"/>
      <x:c r="K30" s="71"/>
    </x:row>
    <x:row r="31">
      <x:c r="A31" s="71"/>
      <x:c r="B31" s="71"/>
      <x:c r="C31" s="71" t="str">
        <x:v>Property, plant and equipment</x:v>
      </x:c>
      <x:c r="D31" s="101" t="n">
        <x:v>8509</x:v>
      </x:c>
      <x:c r="E31" s="101" t="n">
        <x:v>9528</x:v>
      </x:c>
      <x:c r="F31" s="101" t="n">
        <x:v>8996</x:v>
      </x:c>
      <x:c r="G31" s="83"/>
      <x:c r="H31" s="71"/>
      <x:c r="I31" s="71"/>
      <x:c r="J31" s="71"/>
      <x:c r="K31" s="71"/>
    </x:row>
    <x:row r="32">
      <x:c r="A32" s="71"/>
      <x:c r="B32" s="71"/>
      <x:c r="C32" s="71" t="str">
        <x:v>Other non-current assets</x:v>
      </x:c>
      <x:c r="D32" s="101" t="n">
        <x:v>7025</x:v>
      </x:c>
      <x:c r="E32" s="101" t="n">
        <x:v>7521</x:v>
      </x:c>
      <x:c r="F32" s="101" t="n">
        <x:v>7262</x:v>
      </x:c>
      <x:c r="G32" s="83"/>
      <x:c r="H32" s="71"/>
      <x:c r="I32" s="71"/>
      <x:c r="J32" s="71"/>
      <x:c r="K32" s="71"/>
    </x:row>
    <x:row r="33">
      <x:c r="A33" s="71"/>
      <x:c r="B33" s="71"/>
      <x:c r="C33" s="71" t="str">
        <x:v>Inventories</x:v>
      </x:c>
      <x:c r="D33" s="101" t="n">
        <x:v>9720</x:v>
      </x:c>
      <x:c r="E33" s="101" t="n">
        <x:v>10658</x:v>
      </x:c>
      <x:c r="F33" s="101" t="n">
        <x:v>10529</x:v>
      </x:c>
      <x:c r="G33" s="83"/>
      <x:c r="H33" s="71"/>
      <x:c r="I33" s="71"/>
      <x:c r="J33" s="71"/>
      <x:c r="K33" s="71"/>
    </x:row>
    <x:row r="34">
      <x:c r="A34" s="71"/>
      <x:c r="B34" s="71"/>
      <x:c r="C34" s="71" t="str">
        <x:v>Trade and other receivables</x:v>
      </x:c>
      <x:c r="D34" s="101" t="n">
        <x:v>3487</x:v>
      </x:c>
      <x:c r="E34" s="101" t="n">
        <x:v>3504</x:v>
      </x:c>
      <x:c r="F34" s="101" t="n">
        <x:v>3277</x:v>
      </x:c>
      <x:c r="G34" s="83"/>
      <x:c r="H34" s="71"/>
      <x:c r="I34" s="71"/>
      <x:c r="J34" s="71"/>
      <x:c r="K34" s="71"/>
    </x:row>
    <x:row r="35">
      <x:c r="A35" s="71"/>
      <x:c r="B35" s="71"/>
      <x:c r="C35" s="71" t="str">
        <x:v>Other current assets</x:v>
      </x:c>
      <x:c r="D35" s="101" t="n">
        <x:v>789</x:v>
      </x:c>
      <x:c r="E35" s="101" t="n">
        <x:v>1135</x:v>
      </x:c>
      <x:c r="F35" s="101" t="n">
        <x:v>1886</x:v>
      </x:c>
      <x:c r="G35" s="83"/>
      <x:c r="H35" s="71"/>
      <x:c r="I35" s="71"/>
      <x:c r="J35" s="71"/>
      <x:c r="K35" s="71"/>
    </x:row>
    <x:row r="36">
      <x:c r="A36" s="71"/>
      <x:c r="B36" s="71"/>
      <x:c r="C36" s="71" t="str">
        <x:v>Cash and cash equivalents</x:v>
      </x:c>
      <x:c r="D36" s="101" t="n">
        <x:v>1130</x:v>
      </x:c>
      <x:c r="E36" s="101" t="n">
        <x:v>2200</x:v>
      </x:c>
      <x:c r="F36" s="101" t="n">
        <x:v>1520</x:v>
      </x:c>
      <x:c r="G36" s="83"/>
      <x:c r="H36" s="71"/>
      <x:c r="I36" s="71"/>
      <x:c r="J36" s="71"/>
      <x:c r="K36" s="71"/>
    </x:row>
    <x:row r="37">
      <x:c r="A37" s="71"/>
      <x:c r="B37" s="71"/>
      <x:c r="C37" s="102" t="str">
        <x:v>Total assets</x:v>
      </x:c>
      <x:c r="D37" s="103" t="n">
        <x:v>45474</x:v>
      </x:c>
      <x:c r="E37" s="103" t="n">
        <x:v>49322</x:v>
      </x:c>
      <x:c r="F37" s="103" t="n">
        <x:v>46845</x:v>
      </x:c>
      <x:c r="G37" s="104"/>
      <x:c r="H37" s="102"/>
      <x:c r="I37" s="102"/>
      <x:c r="J37" s="102"/>
      <x:c r="K37" s="102"/>
    </x:row>
    <x:row r="38">
      <x:c r="A38" s="71"/>
      <x:c r="B38" s="71"/>
      <x:c r="C38" s="71" t="str">
        <x:v>Borrowings</x:v>
      </x:c>
      <x:c r="D38" s="101" t="n">
        <x:v>21501</x:v>
      </x:c>
      <x:c r="E38" s="101" t="n">
        <x:v>23748</x:v>
      </x:c>
      <x:c r="F38" s="101" t="n">
        <x:v>21511</x:v>
      </x:c>
      <x:c r="G38" s="83"/>
      <x:c r="H38" s="71"/>
      <x:c r="I38" s="71"/>
      <x:c r="J38" s="71"/>
      <x:c r="K38" s="71"/>
    </x:row>
    <x:row r="39">
      <x:c r="A39" s="71"/>
      <x:c r="B39" s="71"/>
      <x:c r="C39" s="71" t="str">
        <x:v>Trade and other payables</x:v>
      </x:c>
      <x:c r="D39" s="101" t="n">
        <x:v>6658</x:v>
      </x:c>
      <x:c r="E39" s="101" t="n">
        <x:v>7144</x:v>
      </x:c>
      <x:c r="F39" s="101" t="n">
        <x:v>6575</x:v>
      </x:c>
      <x:c r="G39" s="83"/>
      <x:c r="H39" s="71"/>
      <x:c r="I39" s="71"/>
      <x:c r="J39" s="71"/>
      <x:c r="K39" s="71"/>
    </x:row>
    <x:row r="40">
      <x:c r="A40" s="71"/>
      <x:c r="B40" s="71"/>
      <x:c r="C40" s="71" t="str">
        <x:v>Other liabilities</x:v>
      </x:c>
      <x:c r="D40" s="101" t="n">
        <x:v>5245</x:v>
      </x:c>
      <x:c r="E40" s="101" t="n">
        <x:v>5252</x:v>
      </x:c>
      <x:c r="F40" s="101" t="n">
        <x:v>5805</x:v>
      </x:c>
      <x:c r="G40" s="83"/>
      <x:c r="H40" s="71"/>
      <x:c r="I40" s="71"/>
      <x:c r="J40" s="71"/>
      <x:c r="K40" s="71"/>
    </x:row>
    <x:row r="41">
      <x:c r="A41" s="71"/>
      <x:c r="B41" s="71"/>
      <x:c r="C41" s="102" t="str">
        <x:v>Total liabilities</x:v>
      </x:c>
      <x:c r="D41" s="103" t="n">
        <x:v>33404</x:v>
      </x:c>
      <x:c r="E41" s="103" t="n">
        <x:v>36144</x:v>
      </x:c>
      <x:c r="F41" s="103" t="n">
        <x:v>33891</x:v>
      </x:c>
      <x:c r="G41" s="104"/>
      <x:c r="H41" s="102"/>
      <x:c r="I41" s="102"/>
      <x:c r="J41" s="102"/>
      <x:c r="K41" s="102"/>
    </x:row>
    <x:row r="42">
      <x:c r="A42" s="71"/>
      <x:c r="B42" s="71"/>
      <x:c r="C42" s="71" t="str">
        <x:v>Share capital</x:v>
      </x:c>
      <x:c r="D42" s="101" t="n">
        <x:v>887</x:v>
      </x:c>
      <x:c r="E42" s="101" t="n">
        <x:v>887</x:v>
      </x:c>
      <x:c r="F42" s="101" t="n">
        <x:v>887</x:v>
      </x:c>
      <x:c r="G42" s="83"/>
      <x:c r="H42" s="71"/>
      <x:c r="I42" s="71"/>
      <x:c r="J42" s="71"/>
      <x:c r="K42" s="71"/>
    </x:row>
    <x:row r="43">
      <x:c r="A43" s="71"/>
      <x:c r="B43" s="71"/>
      <x:c r="C43" s="71" t="str">
        <x:v>Share premium</x:v>
      </x:c>
      <x:c r="D43" s="101" t="n">
        <x:v>1703</x:v>
      </x:c>
      <x:c r="E43" s="101" t="n">
        <x:v>1703</x:v>
      </x:c>
      <x:c r="F43" s="101" t="n">
        <x:v>1703</x:v>
      </x:c>
      <x:c r="G43" s="83"/>
      <x:c r="H43" s="71"/>
      <x:c r="I43" s="71"/>
      <x:c r="J43" s="71"/>
      <x:c r="K43" s="71"/>
    </x:row>
    <x:row r="44">
      <x:c r="A44" s="71"/>
      <x:c r="B44" s="71"/>
      <x:c r="C44" s="71" t="str">
        <x:v>Other reserves</x:v>
      </x:c>
      <x:c r="D44" s="101" t="n">
        <x:v>-91</x:v>
      </x:c>
      <x:c r="E44" s="101" t="n">
        <x:v>454</x:v>
      </x:c>
      <x:c r="F44" s="101" t="n">
        <x:v>-10</x:v>
      </x:c>
      <x:c r="G44" s="83"/>
      <x:c r="H44" s="71"/>
      <x:c r="I44" s="71"/>
      <x:c r="J44" s="71"/>
      <x:c r="K44" s="71"/>
    </x:row>
    <x:row r="45">
      <x:c r="A45" s="71"/>
      <x:c r="B45" s="71"/>
      <x:c r="C45" s="71" t="str">
        <x:v>Retained earnings</x:v>
      </x:c>
      <x:c r="D45" s="101" t="n">
        <x:v>7533</x:v>
      </x:c>
      <x:c r="E45" s="101" t="n">
        <x:v>8046</x:v>
      </x:c>
      <x:c r="F45" s="101" t="n">
        <x:v>8291</x:v>
      </x:c>
      <x:c r="G45" s="83"/>
      <x:c r="H45" s="71"/>
      <x:c r="I45" s="71"/>
      <x:c r="J45" s="71"/>
      <x:c r="K45" s="71"/>
    </x:row>
    <x:row r="46">
      <x:c r="A46" s="71"/>
      <x:c r="B46" s="71"/>
      <x:c r="C46" s="71" t="str">
        <x:v>NCI</x:v>
      </x:c>
      <x:c r="D46" s="101" t="n">
        <x:v>2038</x:v>
      </x:c>
      <x:c r="E46" s="101" t="n">
        <x:v>2088</x:v>
      </x:c>
      <x:c r="F46" s="101" t="n">
        <x:v>2083</x:v>
      </x:c>
      <x:c r="G46" s="83"/>
      <x:c r="H46" s="71"/>
      <x:c r="I46" s="71"/>
      <x:c r="J46" s="71"/>
      <x:c r="K46" s="71"/>
    </x:row>
    <x:row r="47">
      <x:c r="A47" s="71"/>
      <x:c r="B47" s="71"/>
      <x:c r="C47" s="102" t="str">
        <x:v>Total equity</x:v>
      </x:c>
      <x:c r="D47" s="103" t="n">
        <x:v>12070</x:v>
      </x:c>
      <x:c r="E47" s="103" t="n">
        <x:v>13178</x:v>
      </x:c>
      <x:c r="F47" s="103" t="n">
        <x:v>12954</x:v>
      </x:c>
      <x:c r="G47" s="104"/>
      <x:c r="H47" s="102"/>
      <x:c r="I47" s="102"/>
      <x:c r="J47" s="102"/>
      <x:c r="K47" s="102"/>
    </x:row>
    <x:row r="48">
      <x:c r="A48" s="71"/>
      <x:c r="B48" s="71"/>
      <x:c r="C48" s="102" t="str">
        <x:v>Total liabilities and equity</x:v>
      </x:c>
      <x:c r="D48" s="103" t="n">
        <x:v>45474</x:v>
      </x:c>
      <x:c r="E48" s="103" t="n">
        <x:v>49322</x:v>
      </x:c>
      <x:c r="F48" s="103" t="n">
        <x:v>46845</x:v>
      </x:c>
      <x:c r="G48" s="104"/>
      <x:c r="H48" s="102"/>
      <x:c r="I48" s="102"/>
      <x:c r="J48" s="102"/>
      <x:c r="K48" s="102"/>
    </x:row>
    <x:row r="49">
      <x:c r="A49" s="71"/>
      <x:c r="B49" s="71"/>
      <x:c r="C49" s="102" t="str">
        <x:v>Balance sheet check</x:v>
      </x:c>
      <x:c r="D49" s="103" t="n">
        <x:v>0</x:v>
      </x:c>
      <x:c r="E49" s="103" t="n">
        <x:v>0</x:v>
      </x:c>
      <x:c r="F49" s="103" t="n">
        <x:v>0</x:v>
      </x:c>
      <x:c r="G49" s="104"/>
      <x:c r="H49" s="102"/>
      <x:c r="I49" s="102"/>
      <x:c r="J49" s="102"/>
      <x:c r="K49" s="102"/>
    </x:row>
    <x:row r="50">
      <x:c r="A50" s="71"/>
      <x:c r="B50" s="71"/>
      <x:c r="C50" s="71"/>
      <x:c r="D50" s="71"/>
      <x:c r="E50" s="71"/>
      <x:c r="F50" s="71"/>
      <x:c r="G50" s="83"/>
      <x:c r="H50" s="71"/>
      <x:c r="I50" s="71"/>
      <x:c r="J50" s="71"/>
      <x:c r="K50" s="71"/>
    </x:row>
    <x:row r="51">
      <x:c r="A51" s="71"/>
      <x:c r="B51" s="71"/>
      <x:c r="C51" s="71"/>
      <x:c r="D51" s="71"/>
      <x:c r="E51" s="71"/>
      <x:c r="F51" s="71"/>
      <x:c r="G51" s="83"/>
      <x:c r="H51" s="71"/>
      <x:c r="I51" s="71"/>
      <x:c r="J51" s="71"/>
      <x:c r="K51" s="71"/>
    </x:row>
    <x:row r="52">
      <x:c r="A52" s="71"/>
      <x:c r="B52" s="71"/>
      <x:c r="C52" s="75" t="str">
        <x:v>Cash flow statement</x:v>
      </x:c>
      <x:c r="D52" s="75"/>
      <x:c r="E52" s="75"/>
      <x:c r="F52" s="75"/>
      <x:c r="G52" s="85"/>
      <x:c r="H52" s="75"/>
      <x:c r="I52" s="75"/>
      <x:c r="J52" s="75"/>
      <x:c r="K52" s="75"/>
    </x:row>
    <x:row r="53">
      <x:c r="A53" s="71"/>
      <x:c r="B53" s="71"/>
      <x:c r="C53" s="71" t="str">
        <x:v>Profit for the year</x:v>
      </x:c>
      <x:c r="D53" s="101" t="n">
        <x:v>4166</x:v>
      </x:c>
      <x:c r="E53" s="101" t="n">
        <x:v>2538</x:v>
      </x:c>
      <x:c r="F53" s="101" t="n">
        <x:v>1958</x:v>
      </x:c>
      <x:c r="G53" s="83"/>
      <x:c r="H53" s="71"/>
      <x:c r="I53" s="71"/>
      <x:c r="J53" s="71"/>
      <x:c r="K53" s="71"/>
    </x:row>
    <x:row r="54">
      <x:c r="A54" s="71"/>
      <x:c r="B54" s="71"/>
      <x:c r="C54" s="71" t="str">
        <x:v>Depreciation, amortisation and impairment</x:v>
      </x:c>
      <x:c r="D54" s="101" t="n">
        <x:v>493</x:v>
      </x:c>
      <x:c r="E54" s="101" t="n">
        <x:v>1718</x:v>
      </x:c>
      <x:c r="F54" s="101" t="n">
        <x:v>2480</x:v>
      </x:c>
      <x:c r="G54" s="83"/>
      <x:c r="H54" s="71"/>
      <x:c r="I54" s="71"/>
      <x:c r="J54" s="71"/>
      <x:c r="K54" s="71"/>
    </x:row>
    <x:row r="55">
      <x:c r="A55" s="71"/>
      <x:c r="B55" s="71"/>
      <x:c r="C55" s="71" t="str">
        <x:v>Net working capital movement</x:v>
      </x:c>
      <x:c r="D55" s="101" t="n">
        <x:v>-768</x:v>
      </x:c>
      <x:c r="E55" s="101" t="n">
        <x:v>-77</x:v>
      </x:c>
      <x:c r="F55" s="101" t="n">
        <x:v>76</x:v>
      </x:c>
      <x:c r="G55" s="83"/>
      <x:c r="H55" s="71"/>
      <x:c r="I55" s="71"/>
      <x:c r="J55" s="71"/>
      <x:c r="K55" s="71"/>
    </x:row>
    <x:row r="56">
      <x:c r="A56" s="71"/>
      <x:c r="B56" s="71"/>
      <x:c r="C56" s="71" t="str">
        <x:v>Other operating and finance adjustments</x:v>
      </x:c>
      <x:c r="D56" s="101" t="n">
        <x:v>214</x:v>
      </x:c>
      <x:c r="E56" s="101" t="n">
        <x:v>118</x:v>
      </x:c>
      <x:c r="F56" s="101" t="n">
        <x:v>-122</x:v>
      </x:c>
      <x:c r="G56" s="83"/>
      <x:c r="H56" s="71"/>
      <x:c r="I56" s="71"/>
      <x:c r="J56" s="71"/>
      <x:c r="K56" s="71"/>
    </x:row>
    <x:row r="57">
      <x:c r="A57" s="71"/>
      <x:c r="B57" s="71"/>
      <x:c r="C57" s="102" t="str">
        <x:v>Net cash from operating activities</x:v>
      </x:c>
      <x:c r="D57" s="103" t="n">
        <x:v>4105</x:v>
      </x:c>
      <x:c r="E57" s="103" t="n">
        <x:v>4297</x:v>
      </x:c>
      <x:c r="F57" s="103" t="n">
        <x:v>4392</x:v>
      </x:c>
      <x:c r="G57" s="104"/>
      <x:c r="H57" s="102"/>
      <x:c r="I57" s="102"/>
      <x:c r="J57" s="102"/>
      <x:c r="K57" s="102"/>
    </x:row>
    <x:row r="58">
      <x:c r="A58" s="71"/>
      <x:c r="B58" s="71"/>
      <x:c r="C58" s="71" t="str">
        <x:v>Capital expenditure</x:v>
      </x:c>
      <x:c r="D58" s="101" t="n">
        <x:v>-1510</x:v>
      </x:c>
      <x:c r="E58" s="101" t="n">
        <x:v>-1612</x:v>
      </x:c>
      <x:c r="F58" s="101" t="n">
        <x:v>-1197</x:v>
      </x:c>
      <x:c r="G58" s="83"/>
      <x:c r="H58" s="71"/>
      <x:c r="I58" s="71"/>
      <x:c r="J58" s="71"/>
      <x:c r="K58" s="71"/>
    </x:row>
    <x:row r="59">
      <x:c r="A59" s="71"/>
      <x:c r="B59" s="71"/>
      <x:c r="C59" s="71" t="str">
        <x:v>Other investing cash flow</x:v>
      </x:c>
      <x:c r="D59" s="101" t="n">
        <x:v>-85</x:v>
      </x:c>
      <x:c r="E59" s="101" t="n">
        <x:v>-108</x:v>
      </x:c>
      <x:c r="F59" s="101" t="n">
        <x:v>215</x:v>
      </x:c>
      <x:c r="G59" s="83"/>
      <x:c r="H59" s="71"/>
      <x:c r="I59" s="71"/>
      <x:c r="J59" s="71"/>
      <x:c r="K59" s="71"/>
    </x:row>
    <x:row r="60">
      <x:c r="A60" s="71"/>
      <x:c r="B60" s="71"/>
      <x:c r="C60" s="102" t="str">
        <x:v>Net cash from investing activities</x:v>
      </x:c>
      <x:c r="D60" s="103" t="n">
        <x:v>-1595</x:v>
      </x:c>
      <x:c r="E60" s="103" t="n">
        <x:v>-1720</x:v>
      </x:c>
      <x:c r="F60" s="103" t="n">
        <x:v>-982</x:v>
      </x:c>
      <x:c r="G60" s="104"/>
      <x:c r="H60" s="102"/>
      <x:c r="I60" s="102"/>
      <x:c r="J60" s="102"/>
      <x:c r="K60" s="102"/>
    </x:row>
    <x:row r="61">
      <x:c r="A61" s="71"/>
      <x:c r="B61" s="71"/>
      <x:c r="C61" s="71" t="str">
        <x:v>Debt issuance</x:v>
      </x:c>
      <x:c r="D61" s="101" t="n">
        <x:v>2612</x:v>
      </x:c>
      <x:c r="E61" s="101" t="n">
        <x:v>4026</x:v>
      </x:c>
      <x:c r="F61" s="101" t="n">
        <x:v>1498</x:v>
      </x:c>
      <x:c r="G61" s="83"/>
      <x:c r="H61" s="71"/>
      <x:c r="I61" s="71"/>
      <x:c r="J61" s="71"/>
      <x:c r="K61" s="71"/>
    </x:row>
    <x:row r="62">
      <x:c r="A62" s="71"/>
      <x:c r="B62" s="71"/>
      <x:c r="C62" s="71" t="str">
        <x:v>Debt repayment</x:v>
      </x:c>
      <x:c r="D62" s="101" t="n">
        <x:v>-2160</x:v>
      </x:c>
      <x:c r="E62" s="101" t="n">
        <x:v>-3128</x:v>
      </x:c>
      <x:c r="F62" s="101" t="n">
        <x:v>-3273</x:v>
      </x:c>
      <x:c r="G62" s="83"/>
      <x:c r="H62" s="71"/>
      <x:c r="I62" s="71"/>
      <x:c r="J62" s="71"/>
      <x:c r="K62" s="71"/>
    </x:row>
    <x:row r="63">
      <x:c r="A63" s="71"/>
      <x:c r="B63" s="71"/>
      <x:c r="C63" s="71" t="str">
        <x:v>Equity and NCI dividends</x:v>
      </x:c>
      <x:c r="D63" s="101" t="n">
        <x:v>-2359</x:v>
      </x:c>
      <x:c r="E63" s="101" t="n">
        <x:v>-2436</x:v>
      </x:c>
      <x:c r="F63" s="101" t="n">
        <x:v>-2010</x:v>
      </x:c>
      <x:c r="G63" s="83"/>
      <x:c r="H63" s="71"/>
      <x:c r="I63" s="71"/>
      <x:c r="J63" s="71"/>
      <x:c r="K63" s="71"/>
    </x:row>
    <x:row r="64">
      <x:c r="A64" s="71"/>
      <x:c r="B64" s="71"/>
      <x:c r="C64" s="71" t="str">
        <x:v>Share repurchases and other financing</x:v>
      </x:c>
      <x:c r="D64" s="101" t="n">
        <x:v>-1199</x:v>
      </x:c>
      <x:c r="E64" s="101" t="n">
        <x:v>44</x:v>
      </x:c>
      <x:c r="F64" s="101" t="n">
        <x:v>1</x:v>
      </x:c>
      <x:c r="G64" s="83"/>
      <x:c r="H64" s="71"/>
      <x:c r="I64" s="71"/>
      <x:c r="J64" s="71"/>
      <x:c r="K64" s="71"/>
    </x:row>
    <x:row r="65">
      <x:c r="A65" s="71"/>
      <x:c r="B65" s="71"/>
      <x:c r="C65" s="102" t="str">
        <x:v>Net cash from financing activities</x:v>
      </x:c>
      <x:c r="D65" s="103" t="n">
        <x:v>-3106</x:v>
      </x:c>
      <x:c r="E65" s="103" t="n">
        <x:v>-1494</x:v>
      </x:c>
      <x:c r="F65" s="103" t="n">
        <x:v>-3784</x:v>
      </x:c>
      <x:c r="G65" s="104"/>
      <x:c r="H65" s="102"/>
      <x:c r="I65" s="102"/>
      <x:c r="J65" s="102"/>
      <x:c r="K65" s="102"/>
    </x:row>
    <x:row r="66">
      <x:c r="A66" s="71"/>
      <x:c r="B66" s="71"/>
      <x:c r="C66" s="102" t="str">
        <x:v>Net change before FX/reclassification</x:v>
      </x:c>
      <x:c r="D66" s="103" t="n">
        <x:v>-596</x:v>
      </x:c>
      <x:c r="E66" s="103" t="n">
        <x:v>1083</x:v>
      </x:c>
      <x:c r="F66" s="103" t="n">
        <x:v>-374</x:v>
      </x:c>
      <x:c r="G66" s="104"/>
      <x:c r="H66" s="102"/>
      <x:c r="I66" s="102"/>
      <x:c r="J66" s="102"/>
      <x:c r="K66" s="102"/>
    </x:row>
    <x:row r="67">
      <x:c r="A67" s="71"/>
      <x:c r="B67" s="71"/>
      <x:c r="C67" s="71" t="str">
        <x:v>FX and reclassification</x:v>
      </x:c>
      <x:c r="D67" s="101" t="n">
        <x:v>-63</x:v>
      </x:c>
      <x:c r="E67" s="101" t="n">
        <x:v>-14</x:v>
      </x:c>
      <x:c r="F67" s="101" t="n">
        <x:v>-310</x:v>
      </x:c>
      <x:c r="G67" s="83"/>
      <x:c r="H67" s="71"/>
      <x:c r="I67" s="71"/>
      <x:c r="J67" s="71"/>
      <x:c r="K67" s="71"/>
    </x:row>
    <x:row r="68">
      <x:c r="A68" s="71"/>
      <x:c r="B68" s="71"/>
      <x:c r="C68" s="71" t="str">
        <x:v>Opening cash and cash equivalents, net</x:v>
      </x:c>
      <x:c r="D68" s="101" t="n">
        <x:v>1768</x:v>
      </x:c>
      <x:c r="E68" s="101" t="n">
        <x:v>1109</x:v>
      </x:c>
      <x:c r="F68" s="101" t="n">
        <x:v>2178</x:v>
      </x:c>
      <x:c r="G68" s="83"/>
      <x:c r="H68" s="71"/>
      <x:c r="I68" s="71"/>
      <x:c r="J68" s="71"/>
      <x:c r="K68" s="71"/>
    </x:row>
    <x:row r="69">
      <x:c r="A69" s="71"/>
      <x:c r="B69" s="71"/>
      <x:c r="C69" s="102" t="str">
        <x:v>Closing cash and cash equivalents, net</x:v>
      </x:c>
      <x:c r="D69" s="103" t="n">
        <x:v>1109</x:v>
      </x:c>
      <x:c r="E69" s="103" t="n">
        <x:v>2178</x:v>
      </x:c>
      <x:c r="F69" s="103" t="n">
        <x:v>1494</x:v>
      </x:c>
      <x:c r="G69" s="104"/>
      <x:c r="H69" s="102"/>
      <x:c r="I69" s="102"/>
      <x:c r="J69" s="102"/>
      <x:c r="K69" s="102"/>
    </x:row>
    <x:row r="70">
      <x:c r="A70" s="71"/>
      <x:c r="B70" s="71"/>
      <x:c r="C70" s="71"/>
      <x:c r="D70" s="71"/>
      <x:c r="E70" s="71"/>
      <x:c r="F70" s="71"/>
      <x:c r="G70" s="83"/>
      <x:c r="H70" s="71"/>
      <x:c r="I70" s="71"/>
      <x:c r="J70" s="71"/>
      <x:c r="K70" s="71"/>
    </x:row>
    <x:row r="71">
      <x:c r="A71" s="71"/>
      <x:c r="B71" s="71"/>
      <x:c r="C71" s="71"/>
      <x:c r="D71" s="71"/>
      <x:c r="E71" s="71"/>
      <x:c r="F71" s="71"/>
      <x:c r="G71" s="83"/>
      <x:c r="H71" s="71"/>
      <x:c r="I71" s="71"/>
      <x:c r="J71" s="71"/>
      <x:c r="K71" s="71"/>
    </x:row>
    <x:row r="72">
      <x:c r="A72" s="71"/>
      <x:c r="B72" s="71"/>
      <x:c r="C72" s="75" t="str">
        <x:v>Source map</x:v>
      </x:c>
      <x:c r="D72" s="75"/>
      <x:c r="E72" s="75"/>
      <x:c r="F72" s="75"/>
      <x:c r="G72" s="85"/>
      <x:c r="H72" s="75"/>
      <x:c r="I72" s="75"/>
      <x:c r="J72" s="75"/>
      <x:c r="K72" s="75"/>
    </x:row>
    <x:row r="73">
      <x:c r="A73" s="71"/>
      <x:c r="B73" s="71"/>
      <x:c r="C73" s="79" t="str">
        <x:v>Income statement FY2024–FY2026</x:v>
      </x:c>
      <x:c r="D73" s="79" t="str">
        <x:v>FY2026 financial statements</x:v>
      </x:c>
      <x:c r="E73" s="79" t="str">
        <x:v>Page 143</x:v>
      </x:c>
      <x:c r="F73" s="79" t="str">
        <x:v>https://www.diageo.com/~/media/Files/D/Diageo-V2/Diageo-Corp/investors/results-reports-and-events/annual-reports/2026/financial-statements-2026.pdf</x:v>
      </x:c>
      <x:c r="G73" s="83"/>
      <x:c r="H73" s="71"/>
      <x:c r="I73" s="71"/>
      <x:c r="J73" s="71"/>
      <x:c r="K73" s="71"/>
    </x:row>
    <x:row r="74">
      <x:c r="A74" s="71"/>
      <x:c r="B74" s="71"/>
      <x:c r="C74" s="79" t="str">
        <x:v>Balance sheet FY2025–FY2026</x:v>
      </x:c>
      <x:c r="D74" s="79" t="str">
        <x:v>FY2026 financial statements</x:v>
      </x:c>
      <x:c r="E74" s="79" t="str">
        <x:v>Page 145</x:v>
      </x:c>
      <x:c r="F74" s="79" t="str">
        <x:v>Same as above</x:v>
      </x:c>
      <x:c r="G74" s="83"/>
      <x:c r="H74" s="71"/>
      <x:c r="I74" s="71"/>
      <x:c r="J74" s="71"/>
      <x:c r="K74" s="71"/>
    </x:row>
    <x:row r="75">
      <x:c r="A75" s="71"/>
      <x:c r="B75" s="71"/>
      <x:c r="C75" s="79" t="str">
        <x:v>Balance sheet FY2024</x:v>
      </x:c>
      <x:c r="D75" s="79" t="str">
        <x:v>FY2025 annual report</x:v>
      </x:c>
      <x:c r="E75" s="79" t="str">
        <x:v>Page 150</x:v>
      </x:c>
      <x:c r="F75" s="79" t="str">
        <x:v>https://www.diageo.com/~/media/Files/D/Diageo-V2/Diageo-Corp/investors/results-reports-and-events/annual-reports/2025/annual-report-2025.pdf</x:v>
      </x:c>
      <x:c r="G75" s="83"/>
      <x:c r="H75" s="71"/>
      <x:c r="I75" s="71"/>
      <x:c r="J75" s="71"/>
      <x:c r="K75" s="71"/>
    </x:row>
    <x:row r="76">
      <x:c r="A76" s="71"/>
      <x:c r="B76" s="71"/>
      <x:c r="C76" s="79" t="str">
        <x:v>Cash flow FY2024–FY2026</x:v>
      </x:c>
      <x:c r="D76" s="79" t="str">
        <x:v>FY2026 financial statements</x:v>
      </x:c>
      <x:c r="E76" s="79" t="str">
        <x:v>Page 147</x:v>
      </x:c>
      <x:c r="F76" s="79" t="str">
        <x:v>Same as above</x:v>
      </x:c>
      <x:c r="G76" s="83"/>
      <x:c r="H76" s="71"/>
      <x:c r="I76" s="71"/>
      <x:c r="J76" s="71"/>
      <x:c r="K76" s="71"/>
    </x:row>
    <x:row r="77">
      <x:c r="A77" s="71"/>
      <x:c r="B77" s="71"/>
      <x:c r="C77" s="79" t="str">
        <x:v>Segment data FY2024–FY2026</x:v>
      </x:c>
      <x:c r="D77" s="79" t="str">
        <x:v>FY2026 financial statements</x:v>
      </x:c>
      <x:c r="E77" s="79" t="str">
        <x:v>Pages 150–151</x:v>
      </x:c>
      <x:c r="F77" s="79" t="str">
        <x:v>Same as above</x:v>
      </x:c>
      <x:c r="G77" s="83"/>
      <x:c r="H77" s="71"/>
      <x:c r="I77" s="71"/>
      <x:c r="J77" s="71"/>
      <x:c r="K77" s="71"/>
    </x:row>
    <x:row r="78">
      <x:c r="A78" s="71"/>
      <x:c r="B78" s="71"/>
      <x:c r="C78" s="79" t="str">
        <x:v>Presentation currency</x:v>
      </x:c>
      <x:c r="D78" s="79" t="str">
        <x:v>FY2026 financial statements</x:v>
      </x:c>
      <x:c r="E78" s="79" t="str">
        <x:v>Page 148</x:v>
      </x:c>
      <x:c r="F78" s="79" t="str">
        <x:v>Same as above</x:v>
      </x:c>
      <x:c r="G78" s="83"/>
      <x:c r="H78" s="71"/>
      <x:c r="I78" s="71"/>
      <x:c r="J78" s="71"/>
      <x:c r="K78" s="71"/>
    </x:row>
    <x:row r="79">
      <x:c r="A79" s="71"/>
      <x:c r="B79" s="71"/>
      <x:c r="C79" s="71"/>
      <x:c r="D79" s="71"/>
      <x:c r="E79" s="71"/>
      <x:c r="F79" s="71"/>
      <x:c r="G79" s="71"/>
      <x:c r="H79" s="71"/>
      <x:c r="I79" s="71"/>
      <x:c r="J79" s="71"/>
      <x:c r="K79" s="71"/>
    </x:row>
    <x:row r="80">
      <x:c r="A80" s="71"/>
      <x:c r="B80" s="71"/>
      <x:c r="C80" s="71"/>
      <x:c r="D80" s="71"/>
      <x:c r="E80" s="71"/>
      <x:c r="F80" s="71"/>
      <x:c r="G80" s="71"/>
      <x:c r="H80" s="71"/>
      <x:c r="I80" s="71"/>
      <x:c r="J80" s="71"/>
      <x:c r="K80" s="71"/>
    </x:row>
    <x:row r="81">
      <x:c r="A81" s="71"/>
      <x:c r="B81" s="71"/>
      <x:c r="C81" s="71"/>
      <x:c r="D81" s="71"/>
      <x:c r="E81" s="71"/>
      <x:c r="F81" s="71"/>
      <x:c r="G81" s="71"/>
      <x:c r="H81" s="71"/>
      <x:c r="I81" s="71"/>
      <x:c r="J81" s="71"/>
      <x:c r="K81" s="71"/>
    </x:row>
    <x:row r="82">
      <x:c r="A82" s="71"/>
      <x:c r="B82" s="71"/>
      <x:c r="C82" s="71"/>
      <x:c r="D82" s="71"/>
      <x:c r="E82" s="71"/>
      <x:c r="F82" s="71"/>
      <x:c r="G82" s="71"/>
      <x:c r="H82" s="71"/>
      <x:c r="I82" s="71"/>
      <x:c r="J82" s="71"/>
      <x:c r="K82" s="7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6A6A6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71"/>
      <x:c r="B1" s="71"/>
      <x:c r="C1" s="79"/>
      <x:c r="D1" s="71"/>
      <x:c r="E1" s="71"/>
      <x:c r="F1" s="71"/>
      <x:c r="G1" s="71"/>
      <x:c r="H1" s="71"/>
      <x:c r="I1" s="71"/>
      <x:c r="J1" s="71"/>
      <x:c r="K1" s="71"/>
    </x:row>
    <x:row r="2">
      <x:c r="A2" s="71"/>
      <x:c r="B2" s="71"/>
      <x:c r="C2" s="72" t="str">
        <x:v>Regional revenue build</x:v>
      </x:c>
      <x:c r="D2" s="71"/>
      <x:c r="E2" s="71"/>
      <x:c r="F2" s="71"/>
      <x:c r="G2" s="71"/>
      <x:c r="H2" s="71"/>
      <x:c r="I2" s="71"/>
      <x:c r="J2" s="71"/>
      <x:c r="K2" s="71"/>
    </x:row>
    <x:row r="3">
      <x:c r="A3" s="71"/>
      <x:c r="B3" s="71"/>
      <x:c r="C3" s="73" t="str">
        <x:v>Reported net sales by region | US$ millions</x:v>
      </x:c>
      <x:c r="D3" s="73"/>
      <x:c r="E3" s="73"/>
      <x:c r="F3" s="73"/>
      <x:c r="G3" s="73"/>
      <x:c r="H3" s="73"/>
      <x:c r="I3" s="73"/>
      <x:c r="J3" s="73"/>
      <x:c r="K3" s="73"/>
    </x:row>
    <x:row r="4">
      <x:c r="A4" s="71"/>
      <x:c r="B4" s="71"/>
      <x:c r="C4" s="74"/>
      <x:c r="D4" s="74"/>
      <x:c r="E4" s="74"/>
      <x:c r="F4" s="74"/>
      <x:c r="G4" s="74"/>
      <x:c r="H4" s="74"/>
      <x:c r="I4" s="74"/>
      <x:c r="J4" s="74"/>
      <x:c r="K4" s="74"/>
    </x:row>
    <x:row r="5">
      <x:c r="A5" s="71"/>
      <x:c r="B5" s="71"/>
      <x:c r="C5" s="71"/>
      <x:c r="D5" s="71"/>
      <x:c r="E5" s="71"/>
      <x:c r="F5" s="71"/>
      <x:c r="G5" s="71"/>
      <x:c r="H5" s="71"/>
      <x:c r="I5" s="71"/>
      <x:c r="J5" s="71"/>
      <x:c r="K5" s="71"/>
    </x:row>
    <x:row r="6">
      <x:c r="A6" s="71"/>
      <x:c r="B6" s="71"/>
      <x:c r="C6" s="71"/>
      <x:c r="D6" s="80" t="str">
        <x:v>FY:24A</x:v>
      </x:c>
      <x:c r="E6" s="80" t="str">
        <x:v>FY:25A</x:v>
      </x:c>
      <x:c r="F6" s="80" t="str">
        <x:v>FY:26A</x:v>
      </x:c>
      <x:c r="G6" s="81" t="str">
        <x:v>FY:27E</x:v>
      </x:c>
      <x:c r="H6" s="82" t="str">
        <x:v>FY:28E</x:v>
      </x:c>
      <x:c r="I6" s="82" t="str">
        <x:v>FY:29E</x:v>
      </x:c>
      <x:c r="J6" s="82" t="str">
        <x:v>FY:30E</x:v>
      </x:c>
      <x:c r="K6" s="82" t="str">
        <x:v>FY:31E</x:v>
      </x:c>
    </x:row>
    <x:row r="7">
      <x:c r="A7" s="71"/>
      <x:c r="B7" s="71"/>
      <x:c r="C7" s="71"/>
      <x:c r="D7" s="71"/>
      <x:c r="E7" s="71"/>
      <x:c r="F7" s="71"/>
      <x:c r="G7" s="83"/>
      <x:c r="H7" s="71"/>
      <x:c r="I7" s="71"/>
      <x:c r="J7" s="71"/>
      <x:c r="K7" s="71"/>
    </x:row>
    <x:row r="8">
      <x:c r="A8" s="71"/>
      <x:c r="B8" s="71"/>
      <x:c r="C8" s="75" t="str">
        <x:v>Net sales by region</x:v>
      </x:c>
      <x:c r="D8" s="75"/>
      <x:c r="E8" s="75"/>
      <x:c r="F8" s="75"/>
      <x:c r="G8" s="85"/>
      <x:c r="H8" s="75"/>
      <x:c r="I8" s="75"/>
      <x:c r="J8" s="75"/>
      <x:c r="K8" s="75"/>
    </x:row>
    <x:row r="9">
      <x:c r="A9" s="71"/>
      <x:c r="B9" s="71"/>
      <x:c r="C9" s="71" t="str">
        <x:v>North America</x:v>
      </x:c>
      <x:c r="D9" s="101" t="n">
        <x:v>7908</x:v>
      </x:c>
      <x:c r="E9" s="101" t="n">
        <x:v>7973</x:v>
      </x:c>
      <x:c r="F9" s="101" t="n">
        <x:v>7249</x:v>
      </x:c>
      <x:c r="G9" s="106" t="n">
        <x:f>F9*(1+'Assumptions'!G14)</x:f>
        <x:v>6886.549999999999</x:v>
      </x:c>
      <x:c r="H9" s="107" t="n">
        <x:f>G9*(1+'Assumptions'!H14)</x:f>
        <x:v>6886.549999999999</x:v>
      </x:c>
      <x:c r="I9" s="107" t="n">
        <x:f>H9*(1+'Assumptions'!I14)</x:f>
        <x:v>7024.280999999999</x:v>
      </x:c>
      <x:c r="J9" s="107" t="n">
        <x:f>I9*(1+'Assumptions'!J14)</x:f>
        <x:v>7235.009429999999</x:v>
      </x:c>
      <x:c r="K9" s="107" t="n">
        <x:f>J9*(1+'Assumptions'!K14)</x:f>
        <x:v>7452.059712899999</x:v>
      </x:c>
    </x:row>
    <x:row r="10">
      <x:c r="A10" s="71"/>
      <x:c r="B10" s="71"/>
      <x:c r="C10" s="71" t="str">
        <x:v>Europe</x:v>
      </x:c>
      <x:c r="D10" s="101" t="n">
        <x:v>4804</x:v>
      </x:c>
      <x:c r="E10" s="101" t="n">
        <x:v>4821</x:v>
      </x:c>
      <x:c r="F10" s="101" t="n">
        <x:v>5097</x:v>
      </x:c>
      <x:c r="G10" s="106" t="n">
        <x:f>F10*(1+'Assumptions'!G15)</x:f>
        <x:v>5198.9400000000005</x:v>
      </x:c>
      <x:c r="H10" s="107" t="n">
        <x:f>G10*(1+'Assumptions'!H15)</x:f>
        <x:v>5354.908200000001</x:v>
      </x:c>
      <x:c r="I10" s="107" t="n">
        <x:f>H10*(1+'Assumptions'!I15)</x:f>
        <x:v>5515.555446000001</x:v>
      </x:c>
      <x:c r="J10" s="107" t="n">
        <x:f>I10*(1+'Assumptions'!J15)</x:f>
        <x:v>5681.022109380001</x:v>
      </x:c>
      <x:c r="K10" s="107" t="n">
        <x:f>J10*(1+'Assumptions'!K15)</x:f>
        <x:v>5851.4527726614015</x:v>
      </x:c>
    </x:row>
    <x:row r="11">
      <x:c r="A11" s="71"/>
      <x:c r="B11" s="71"/>
      <x:c r="C11" s="71" t="str">
        <x:v>Asia Pacific</x:v>
      </x:c>
      <x:c r="D11" s="101" t="n">
        <x:v>3817</x:v>
      </x:c>
      <x:c r="E11" s="101" t="n">
        <x:v>3635</x:v>
      </x:c>
      <x:c r="F11" s="101" t="n">
        <x:v>3333</x:v>
      </x:c>
      <x:c r="G11" s="106" t="n">
        <x:f>F11*(1+'Assumptions'!G16)</x:f>
        <x:v>3333</x:v>
      </x:c>
      <x:c r="H11" s="107" t="n">
        <x:f>G11*(1+'Assumptions'!H16)</x:f>
        <x:v>3399.66</x:v>
      </x:c>
      <x:c r="I11" s="107" t="n">
        <x:f>H11*(1+'Assumptions'!I16)</x:f>
        <x:v>3501.6498</x:v>
      </x:c>
      <x:c r="J11" s="107" t="n">
        <x:f>I11*(1+'Assumptions'!J16)</x:f>
        <x:v>3641.7157920000004</x:v>
      </x:c>
      <x:c r="K11" s="107" t="n">
        <x:f>J11*(1+'Assumptions'!K16)</x:f>
        <x:v>3787.3844236800005</x:v>
      </x:c>
    </x:row>
    <x:row r="12">
      <x:c r="A12" s="71"/>
      <x:c r="B12" s="71"/>
      <x:c r="C12" s="71" t="str">
        <x:v>Latin America &amp; Caribbean</x:v>
      </x:c>
      <x:c r="D12" s="101" t="n">
        <x:v>1839</x:v>
      </x:c>
      <x:c r="E12" s="101" t="n">
        <x:v>1847</x:v>
      </x:c>
      <x:c r="F12" s="101" t="n">
        <x:v>2160</x:v>
      </x:c>
      <x:c r="G12" s="106" t="n">
        <x:f>F12*(1+'Assumptions'!G17)</x:f>
        <x:v>2224.8</x:v>
      </x:c>
      <x:c r="H12" s="107" t="n">
        <x:f>G12*(1+'Assumptions'!H17)</x:f>
        <x:v>2313.7920000000004</x:v>
      </x:c>
      <x:c r="I12" s="107" t="n">
        <x:f>H12*(1+'Assumptions'!I17)</x:f>
        <x:v>2406.3436800000004</x:v>
      </x:c>
      <x:c r="J12" s="107" t="n">
        <x:f>I12*(1+'Assumptions'!J17)</x:f>
        <x:v>2502.5974272000003</x:v>
      </x:c>
      <x:c r="K12" s="107" t="n">
        <x:f>J12*(1+'Assumptions'!K17)</x:f>
        <x:v>2602.7013242880003</x:v>
      </x:c>
    </x:row>
    <x:row r="13">
      <x:c r="A13" s="71"/>
      <x:c r="B13" s="71"/>
      <x:c r="C13" s="71" t="str">
        <x:v>Africa</x:v>
      </x:c>
      <x:c r="D13" s="101" t="n">
        <x:v>1778</x:v>
      </x:c>
      <x:c r="E13" s="101" t="n">
        <x:v>1834</x:v>
      </x:c>
      <x:c r="F13" s="101" t="n">
        <x:v>1642</x:v>
      </x:c>
      <x:c r="G13" s="106" t="n">
        <x:f>F13*(1+'Assumptions'!G18)</x:f>
        <x:v>1707.68</x:v>
      </x:c>
      <x:c r="H13" s="107" t="n">
        <x:f>G13*(1+'Assumptions'!H18)</x:f>
        <x:v>1793.064</x:v>
      </x:c>
      <x:c r="I13" s="107" t="n">
        <x:f>H13*(1+'Assumptions'!I18)</x:f>
        <x:v>1882.7172000000003</x:v>
      </x:c>
      <x:c r="J13" s="107" t="n">
        <x:f>I13*(1+'Assumptions'!J18)</x:f>
        <x:v>1976.8530600000004</x:v>
      </x:c>
      <x:c r="K13" s="107" t="n">
        <x:f>J13*(1+'Assumptions'!K18)</x:f>
        <x:v>2075.6957130000005</x:v>
      </x:c>
    </x:row>
    <x:row r="14">
      <x:c r="A14" s="71"/>
      <x:c r="B14" s="71"/>
      <x:c r="C14" s="71" t="str">
        <x:v>Corporate &amp; other</x:v>
      </x:c>
      <x:c r="D14" s="101" t="n">
        <x:v>123</x:v>
      </x:c>
      <x:c r="E14" s="101" t="n">
        <x:v>135</x:v>
      </x:c>
      <x:c r="F14" s="101" t="n">
        <x:v>162</x:v>
      </x:c>
      <x:c r="G14" s="106" t="n">
        <x:f>F14*(1+'Assumptions'!G19)</x:f>
        <x:v>162</x:v>
      </x:c>
      <x:c r="H14" s="107" t="n">
        <x:f>G14*(1+'Assumptions'!H19)</x:f>
        <x:v>162</x:v>
      </x:c>
      <x:c r="I14" s="107" t="n">
        <x:f>H14*(1+'Assumptions'!I19)</x:f>
        <x:v>162</x:v>
      </x:c>
      <x:c r="J14" s="107" t="n">
        <x:f>I14*(1+'Assumptions'!J19)</x:f>
        <x:v>162</x:v>
      </x:c>
      <x:c r="K14" s="107" t="n">
        <x:f>J14*(1+'Assumptions'!K19)</x:f>
        <x:v>162</x:v>
      </x:c>
    </x:row>
    <x:row r="15">
      <x:c r="A15" s="71"/>
      <x:c r="B15" s="71"/>
      <x:c r="C15" s="102" t="str">
        <x:v>Group net sales</x:v>
      </x:c>
      <x:c r="D15" s="103" t="n">
        <x:f>SUM(D9:D14)</x:f>
        <x:v>20269</x:v>
      </x:c>
      <x:c r="E15" s="103" t="n">
        <x:f>SUM(E9:E14)</x:f>
        <x:v>20245</x:v>
      </x:c>
      <x:c r="F15" s="103" t="n">
        <x:f>SUM(F9:F14)</x:f>
        <x:v>19643</x:v>
      </x:c>
      <x:c r="G15" s="108" t="n">
        <x:f>SUM(G9:G14)</x:f>
        <x:v>19512.97</x:v>
      </x:c>
      <x:c r="H15" s="103" t="n">
        <x:f>SUM(H9:H14)</x:f>
        <x:v>19909.9742</x:v>
      </x:c>
      <x:c r="I15" s="103" t="n">
        <x:f>SUM(I9:I14)</x:f>
        <x:v>20492.547126</x:v>
      </x:c>
      <x:c r="J15" s="103" t="n">
        <x:f>SUM(J9:J14)</x:f>
        <x:v>21199.197818580004</x:v>
      </x:c>
      <x:c r="K15" s="103" t="n">
        <x:f>SUM(K9:K14)</x:f>
        <x:v>21931.293946529404</x:v>
      </x:c>
    </x:row>
    <x:row r="16">
      <x:c r="A16" s="71"/>
      <x:c r="B16" s="71"/>
      <x:c r="C16" s="71"/>
      <x:c r="D16" s="71"/>
      <x:c r="E16" s="71"/>
      <x:c r="F16" s="71"/>
      <x:c r="G16" s="83"/>
      <x:c r="H16" s="71"/>
      <x:c r="I16" s="71"/>
      <x:c r="J16" s="71"/>
      <x:c r="K16" s="71"/>
    </x:row>
    <x:row r="17">
      <x:c r="A17" s="71"/>
      <x:c r="B17" s="71"/>
      <x:c r="C17" s="71" t="str">
        <x:v>Reported growth</x:v>
      </x:c>
      <x:c r="D17" s="92"/>
      <x:c r="E17" s="92" t="n">
        <x:f>E15/D15-1</x:f>
        <x:v>-0.0011840742019832984</x:v>
      </x:c>
      <x:c r="F17" s="92" t="n">
        <x:f>F15/E15-1</x:f>
        <x:v>-0.029735737219066416</x:v>
      </x:c>
      <x:c r="G17" s="91" t="n">
        <x:f>G15/F15-1</x:f>
        <x:v>-0.006619660947920325</x:v>
      </x:c>
      <x:c r="H17" s="92" t="n">
        <x:f>H15/G15-1</x:f>
        <x:v>0.02034565727308557</x:v>
      </x:c>
      <x:c r="I17" s="92" t="n">
        <x:f>I15/H15-1</x:f>
        <x:v>0.029260355646266945</x:v>
      </x:c>
      <x:c r="J17" s="92" t="n">
        <x:f>J15/I15-1</x:f>
        <x:v>0.03448330206270134</x:v>
      </x:c>
      <x:c r="K17" s="92" t="n">
        <x:f>K15/J15-1</x:f>
        <x:v>0.03453414295269974</x:v>
      </x:c>
    </x:row>
    <x:row r="18">
      <x:c r="A18" s="71"/>
      <x:c r="B18" s="71"/>
      <x:c r="C18" s="71"/>
      <x:c r="D18" s="71"/>
      <x:c r="E18" s="71"/>
      <x:c r="F18" s="71"/>
      <x:c r="G18" s="83"/>
      <x:c r="H18" s="71"/>
      <x:c r="I18" s="71"/>
      <x:c r="J18" s="71"/>
      <x:c r="K18" s="71"/>
    </x:row>
    <x:row r="19">
      <x:c r="A19" s="71"/>
      <x:c r="B19" s="71"/>
      <x:c r="C19" s="71" t="str">
        <x:v>Historical/source note</x:v>
      </x:c>
      <x:c r="D19" s="71" t="str">
        <x:v>FY2026 financial statements pages 150–151</x:v>
      </x:c>
      <x:c r="E19" s="71"/>
      <x:c r="F19" s="71"/>
      <x:c r="G19" s="83" t="str">
        <x:v>Forecast uses active regional organic growth assumptions</x:v>
      </x:c>
      <x:c r="H19" s="71"/>
      <x:c r="I19" s="71"/>
      <x:c r="J19" s="71"/>
      <x:c r="K19" s="71"/>
    </x:row>
    <x:row r="20">
      <x:c r="A20" s="71"/>
      <x:c r="B20" s="71"/>
      <x:c r="C20" s="71"/>
      <x:c r="D20" s="71"/>
      <x:c r="E20" s="71"/>
      <x:c r="F20" s="71"/>
      <x:c r="G20" s="71"/>
      <x:c r="H20" s="71"/>
      <x:c r="I20" s="71"/>
      <x:c r="J20" s="71"/>
      <x:c r="K20" s="71"/>
    </x:row>
    <x:row r="21">
      <x:c r="A21" s="71"/>
      <x:c r="B21" s="71"/>
      <x:c r="C21" s="71"/>
      <x:c r="D21" s="71"/>
      <x:c r="E21" s="71"/>
      <x:c r="F21" s="71"/>
      <x:c r="G21" s="71"/>
      <x:c r="H21" s="71"/>
      <x:c r="I21" s="71"/>
      <x:c r="J21" s="71"/>
      <x:c r="K21" s="71"/>
    </x:row>
    <x:row r="22">
      <x:c r="A22" s="71"/>
      <x:c r="B22" s="71"/>
      <x:c r="C22" s="71"/>
      <x:c r="D22" s="71"/>
      <x:c r="E22" s="71"/>
      <x:c r="F22" s="71"/>
      <x:c r="G22" s="71"/>
      <x:c r="H22" s="71"/>
      <x:c r="I22" s="71"/>
      <x:c r="J22" s="71"/>
      <x:c r="K22" s="71"/>
    </x:row>
    <x:row r="23">
      <x:c r="A23" s="71"/>
      <x:c r="B23" s="71"/>
      <x:c r="C23" s="71"/>
      <x:c r="D23" s="71"/>
      <x:c r="E23" s="71"/>
      <x:c r="F23" s="71"/>
      <x:c r="G23" s="71"/>
      <x:c r="H23" s="71"/>
      <x:c r="I23" s="71"/>
      <x:c r="J23" s="71"/>
      <x:c r="K23" s="71"/>
    </x:row>
    <x:row r="24">
      <x:c r="A24" s="71"/>
      <x:c r="B24" s="71"/>
      <x:c r="C24" s="71"/>
      <x:c r="D24" s="71"/>
      <x:c r="E24" s="71"/>
      <x:c r="F24" s="71"/>
      <x:c r="G24" s="71"/>
      <x:c r="H24" s="71"/>
      <x:c r="I24" s="71"/>
      <x:c r="J24" s="71"/>
      <x:c r="K24" s="71"/>
    </x:row>
    <x:row r="25">
      <x:c r="A25" s="71"/>
      <x:c r="B25" s="71"/>
      <x:c r="C25" s="71"/>
      <x:c r="D25" s="71"/>
      <x:c r="E25" s="71"/>
      <x:c r="F25" s="71"/>
      <x:c r="G25" s="71"/>
      <x:c r="H25" s="71"/>
      <x:c r="I25" s="71"/>
      <x:c r="J25" s="71"/>
      <x:c r="K25" s="7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6A6A6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71"/>
      <x:c r="B1" s="71"/>
      <x:c r="C1" s="79"/>
      <x:c r="D1" s="71"/>
      <x:c r="E1" s="71"/>
      <x:c r="F1" s="71"/>
      <x:c r="G1" s="71"/>
      <x:c r="H1" s="71"/>
      <x:c r="I1" s="71"/>
      <x:c r="J1" s="71"/>
      <x:c r="K1" s="71"/>
    </x:row>
    <x:row r="2">
      <x:c r="A2" s="71"/>
      <x:c r="B2" s="71"/>
      <x:c r="C2" s="72" t="str">
        <x:v>Operating model</x:v>
      </x:c>
      <x:c r="D2" s="71"/>
      <x:c r="E2" s="71"/>
      <x:c r="F2" s="71"/>
      <x:c r="G2" s="71"/>
      <x:c r="H2" s="71"/>
      <x:c r="I2" s="71"/>
      <x:c r="J2" s="71"/>
      <x:c r="K2" s="71"/>
    </x:row>
    <x:row r="3">
      <x:c r="A3" s="71"/>
      <x:c r="B3" s="71"/>
      <x:c r="C3" s="73" t="str">
        <x:v>Adjusted and reported earnings | US$ millions except per-share data</x:v>
      </x:c>
      <x:c r="D3" s="73"/>
      <x:c r="E3" s="73"/>
      <x:c r="F3" s="73"/>
      <x:c r="G3" s="73"/>
      <x:c r="H3" s="73"/>
      <x:c r="I3" s="73"/>
      <x:c r="J3" s="73"/>
      <x:c r="K3" s="73"/>
    </x:row>
    <x:row r="4">
      <x:c r="A4" s="71"/>
      <x:c r="B4" s="71"/>
      <x:c r="C4" s="74"/>
      <x:c r="D4" s="74"/>
      <x:c r="E4" s="74"/>
      <x:c r="F4" s="74"/>
      <x:c r="G4" s="74"/>
      <x:c r="H4" s="74"/>
      <x:c r="I4" s="74"/>
      <x:c r="J4" s="74"/>
      <x:c r="K4" s="74"/>
    </x:row>
    <x:row r="5">
      <x:c r="A5" s="71"/>
      <x:c r="B5" s="71"/>
      <x:c r="C5" s="71"/>
      <x:c r="D5" s="71"/>
      <x:c r="E5" s="71"/>
      <x:c r="F5" s="71"/>
      <x:c r="G5" s="71"/>
      <x:c r="H5" s="71"/>
      <x:c r="I5" s="71"/>
      <x:c r="J5" s="71"/>
      <x:c r="K5" s="71"/>
    </x:row>
    <x:row r="6">
      <x:c r="A6" s="71"/>
      <x:c r="B6" s="71"/>
      <x:c r="C6" s="71"/>
      <x:c r="D6" s="80" t="str">
        <x:v>FY:24A</x:v>
      </x:c>
      <x:c r="E6" s="80" t="str">
        <x:v>FY:25A</x:v>
      </x:c>
      <x:c r="F6" s="80" t="str">
        <x:v>FY:26A</x:v>
      </x:c>
      <x:c r="G6" s="81" t="str">
        <x:v>FY:27E</x:v>
      </x:c>
      <x:c r="H6" s="82" t="str">
        <x:v>FY:28E</x:v>
      </x:c>
      <x:c r="I6" s="82" t="str">
        <x:v>FY:29E</x:v>
      </x:c>
      <x:c r="J6" s="82" t="str">
        <x:v>FY:30E</x:v>
      </x:c>
      <x:c r="K6" s="82" t="str">
        <x:v>FY:31E</x:v>
      </x:c>
    </x:row>
    <x:row r="7">
      <x:c r="A7" s="71"/>
      <x:c r="B7" s="71"/>
      <x:c r="C7" s="71"/>
      <x:c r="D7" s="71"/>
      <x:c r="E7" s="71"/>
      <x:c r="F7" s="71"/>
      <x:c r="G7" s="83"/>
      <x:c r="H7" s="71"/>
      <x:c r="I7" s="71"/>
      <x:c r="J7" s="71"/>
      <x:c r="K7" s="71"/>
    </x:row>
    <x:row r="8">
      <x:c r="A8" s="71"/>
      <x:c r="B8" s="71"/>
      <x:c r="C8" s="75" t="str">
        <x:v>Income statement forecast</x:v>
      </x:c>
      <x:c r="D8" s="75"/>
      <x:c r="E8" s="75"/>
      <x:c r="F8" s="75"/>
      <x:c r="G8" s="85"/>
      <x:c r="H8" s="75"/>
      <x:c r="I8" s="75"/>
      <x:c r="J8" s="75"/>
      <x:c r="K8" s="75"/>
    </x:row>
    <x:row r="9">
      <x:c r="A9" s="71"/>
      <x:c r="B9" s="71"/>
      <x:c r="C9" s="71" t="str">
        <x:v>Net sales</x:v>
      </x:c>
      <x:c r="D9" s="101" t="n">
        <x:f>'Historicals'!D9</x:f>
        <x:v>20269</x:v>
      </x:c>
      <x:c r="E9" s="101" t="n">
        <x:f>'Historicals'!E9</x:f>
        <x:v>20245</x:v>
      </x:c>
      <x:c r="F9" s="101" t="n">
        <x:f>'Historicals'!F9</x:f>
        <x:v>19643</x:v>
      </x:c>
      <x:c r="G9" s="106" t="n">
        <x:f>'Revenue Build'!G15</x:f>
        <x:v>19512.97</x:v>
      </x:c>
      <x:c r="H9" s="107" t="n">
        <x:f>'Revenue Build'!H15</x:f>
        <x:v>19909.9742</x:v>
      </x:c>
      <x:c r="I9" s="107" t="n">
        <x:f>'Revenue Build'!I15</x:f>
        <x:v>20492.547126</x:v>
      </x:c>
      <x:c r="J9" s="107" t="n">
        <x:f>'Revenue Build'!J15</x:f>
        <x:v>21199.197818580004</x:v>
      </x:c>
      <x:c r="K9" s="107" t="n">
        <x:f>'Revenue Build'!K15</x:f>
        <x:v>21931.293946529404</x:v>
      </x:c>
    </x:row>
    <x:row r="10">
      <x:c r="A10" s="71"/>
      <x:c r="B10" s="71"/>
      <x:c r="C10" s="71" t="str">
        <x:v>Cost of sales</x:v>
      </x:c>
      <x:c r="D10" s="101" t="n">
        <x:f>'Historicals'!D10</x:f>
        <x:v>8071</x:v>
      </x:c>
      <x:c r="E10" s="101" t="n">
        <x:f>'Historicals'!E10</x:f>
        <x:v>8072</x:v>
      </x:c>
      <x:c r="F10" s="101" t="n">
        <x:f>'Historicals'!F10</x:f>
        <x:v>7962</x:v>
      </x:c>
      <x:c r="G10" s="106" t="n">
        <x:f>G9-G11</x:f>
        <x:v>7844.2139400000015</x:v>
      </x:c>
      <x:c r="H10" s="107" t="n">
        <x:f>H9-H11</x:f>
        <x:v>7924.169731600001</x:v>
      </x:c>
      <x:c r="I10" s="107" t="n">
        <x:f>I9-I11</x:f>
        <x:v>8094.556114770001</x:v>
      </x:c>
      <x:c r="J10" s="107" t="n">
        <x:f>J9-J11</x:f>
        <x:v>8331.284742701942</x:v>
      </x:c>
      <x:c r="K10" s="107" t="n">
        <x:f>K9-K11</x:f>
        <x:v>8575.135933092997</x:v>
      </x:c>
    </x:row>
    <x:row r="11">
      <x:c r="A11" s="71"/>
      <x:c r="B11" s="71"/>
      <x:c r="C11" s="102" t="str">
        <x:v>Gross profit</x:v>
      </x:c>
      <x:c r="D11" s="103" t="n">
        <x:f>'Historicals'!D11</x:f>
        <x:v>12198</x:v>
      </x:c>
      <x:c r="E11" s="103" t="n">
        <x:f>'Historicals'!E11</x:f>
        <x:v>12173</x:v>
      </x:c>
      <x:c r="F11" s="103" t="n">
        <x:f>'Historicals'!F11</x:f>
        <x:v>11681</x:v>
      </x:c>
      <x:c r="G11" s="109" t="n">
        <x:f>G9*'Assumptions'!G24</x:f>
        <x:v>11668.75606</x:v>
      </x:c>
      <x:c r="H11" s="110" t="n">
        <x:f>H9*'Assumptions'!H24</x:f>
        <x:v>11985.8044684</x:v>
      </x:c>
      <x:c r="I11" s="110" t="n">
        <x:f>I9*'Assumptions'!I24</x:f>
        <x:v>12397.99101123</x:v>
      </x:c>
      <x:c r="J11" s="110" t="n">
        <x:f>J9*'Assumptions'!J24</x:f>
        <x:v>12867.913075878061</x:v>
      </x:c>
      <x:c r="K11" s="110" t="n">
        <x:f>K9*'Assumptions'!K24</x:f>
        <x:v>13356.158013436407</x:v>
      </x:c>
    </x:row>
    <x:row r="12">
      <x:c r="A12" s="71"/>
      <x:c r="B12" s="71"/>
      <x:c r="C12" s="71" t="str">
        <x:v>Marketing</x:v>
      </x:c>
      <x:c r="D12" s="101" t="n">
        <x:f>'Historicals'!D12</x:f>
        <x:v>3691</x:v>
      </x:c>
      <x:c r="E12" s="101" t="n">
        <x:f>'Historicals'!E12</x:f>
        <x:v>3662</x:v>
      </x:c>
      <x:c r="F12" s="101" t="n">
        <x:f>'Historicals'!F12</x:f>
        <x:v>3183</x:v>
      </x:c>
      <x:c r="G12" s="106" t="n">
        <x:f>G9*'Assumptions'!G25</x:f>
        <x:v>3161.10114</x:v>
      </x:c>
      <x:c r="H12" s="107" t="n">
        <x:f>H9*'Assumptions'!H25</x:f>
        <x:v>3225.4158204</x:v>
      </x:c>
      <x:c r="I12" s="107" t="n">
        <x:f>I9*'Assumptions'!I25</x:f>
        <x:v>3319.792634412</x:v>
      </x:c>
      <x:c r="J12" s="107" t="n">
        <x:f>J9*'Assumptions'!J25</x:f>
        <x:v>3434.270046609961</x:v>
      </x:c>
      <x:c r="K12" s="107" t="n">
        <x:f>K9*'Assumptions'!K25</x:f>
        <x:v>3552.8696193377637</x:v>
      </x:c>
    </x:row>
    <x:row r="13">
      <x:c r="A13" s="71"/>
      <x:c r="B13" s="71"/>
      <x:c r="C13" s="71" t="str">
        <x:v>Other recurring operating expenses</x:v>
      </x:c>
      <x:c r="D13" s="101" t="n">
        <x:f>'Historicals'!D13</x:f>
        <x:v>2506</x:v>
      </x:c>
      <x:c r="E13" s="101" t="n">
        <x:f>'Historicals'!E13</x:f>
        <x:v>4176</x:v>
      </x:c>
      <x:c r="F13" s="101" t="n">
        <x:f>'Historicals'!F13</x:f>
        <x:v>5342</x:v>
      </x:c>
      <x:c r="G13" s="106" t="n">
        <x:f>G9*'Assumptions'!G26</x:f>
        <x:v>2985.48441</x:v>
      </x:c>
      <x:c r="H13" s="107" t="n">
        <x:f>H9*'Assumptions'!H26</x:f>
        <x:v>2966.5861558</x:v>
      </x:c>
      <x:c r="I13" s="107" t="n">
        <x:f>I9*'Assumptions'!I26</x:f>
        <x:v>3012.404427522</x:v>
      </x:c>
      <x:c r="J13" s="107" t="n">
        <x:f>J9*'Assumptions'!J26</x:f>
        <x:v>3095.08288151268</x:v>
      </x:c>
      <x:c r="K13" s="107" t="n">
        <x:f>K9*'Assumptions'!K26</x:f>
        <x:v>3180.0376222467635</x:v>
      </x:c>
    </x:row>
    <x:row r="14">
      <x:c r="A14" s="71"/>
      <x:c r="B14" s="71"/>
      <x:c r="C14" s="102" t="str">
        <x:v>Adjusted EBITDA</x:v>
      </x:c>
      <x:c r="D14" s="103" t="n">
        <x:f>D17+D15+D16</x:f>
        <x:v>6438</x:v>
      </x:c>
      <x:c r="E14" s="103" t="n">
        <x:f>E17+E15+E16</x:f>
        <x:v>7422</x:v>
      </x:c>
      <x:c r="F14" s="103" t="n">
        <x:f>F17+F15+F16</x:f>
        <x:v>8163</x:v>
      </x:c>
      <x:c r="G14" s="109" t="n">
        <x:f>G11-G12-G13</x:f>
        <x:v>5522.170509999999</x:v>
      </x:c>
      <x:c r="H14" s="110" t="n">
        <x:f>H11-H12-H13</x:f>
        <x:v>5793.8024922</x:v>
      </x:c>
      <x:c r="I14" s="110" t="n">
        <x:f>I11-I12-I13</x:f>
        <x:v>6065.7939492959995</x:v>
      </x:c>
      <x:c r="J14" s="110" t="n">
        <x:f>J11-J12-J13</x:f>
        <x:v>6338.560147755419</x:v>
      </x:c>
      <x:c r="K14" s="110" t="n">
        <x:f>K11-K12-K13</x:f>
        <x:v>6623.250771851879</x:v>
      </x:c>
    </x:row>
    <x:row r="15">
      <x:c r="A15" s="71"/>
      <x:c r="B15" s="71"/>
      <x:c r="C15" s="71" t="str">
        <x:v>Depreciation</x:v>
      </x:c>
      <x:c r="D15" s="101" t="n">
        <x:f>'Historicals'!D54</x:f>
        <x:v>493</x:v>
      </x:c>
      <x:c r="E15" s="101" t="n">
        <x:f>'Historicals'!E54</x:f>
        <x:v>1718</x:v>
      </x:c>
      <x:c r="F15" s="101" t="n">
        <x:f>'Historicals'!F54</x:f>
        <x:v>2480</x:v>
      </x:c>
      <x:c r="G15" s="106" t="n">
        <x:f>'Schedules'!G31</x:f>
        <x:v>584.74</x:v>
      </x:c>
      <x:c r="H15" s="107" t="n">
        <x:f>'Schedules'!H31</x:f>
        <x:v>622.832483</x:v>
      </x:c>
      <x:c r="I15" s="107" t="n">
        <x:f>'Schedules'!I31</x:f>
        <x:v>659.9972709850001</x:v>
      </x:c>
      <x:c r="J15" s="107" t="n">
        <x:f>'Schedules'!J31</x:f>
        <x:v>697.018382162375</x:v>
      </x:c>
      <x:c r="K15" s="107" t="n">
        <x:f>'Schedules'!K31</x:f>
        <x:v>734.3890588142825</x:v>
      </x:c>
    </x:row>
    <x:row r="16">
      <x:c r="A16" s="71"/>
      <x:c r="B16" s="71"/>
      <x:c r="C16" s="71" t="str">
        <x:v>Amortisation</x:v>
      </x:c>
      <x:c r="D16" s="101" t="n">
        <x:v>0</x:v>
      </x:c>
      <x:c r="E16" s="101" t="n">
        <x:v>0</x:v>
      </x:c>
      <x:c r="F16" s="101" t="n">
        <x:v>0</x:v>
      </x:c>
      <x:c r="G16" s="106" t="n">
        <x:f>'Schedules'!G38</x:f>
        <x:v>227.37500000000003</x:v>
      </x:c>
      <x:c r="H16" s="107" t="n">
        <x:f>'Schedules'!H38</x:f>
        <x:v>225.16822745000002</x:v>
      </x:c>
      <x:c r="I16" s="107" t="n">
        <x:f>'Schedules'!I38</x:f>
        <x:v>223.03271539035</x:v>
      </x:c>
      <x:c r="J16" s="107" t="n">
        <x:f>'Schedules'!J38</x:f>
        <x:v>220.98302573442407</x:v>
      </x:c>
      <x:c r="K16" s="107" t="n">
        <x:f>'Schedules'!K38</x:f>
        <x:v>219.02824611151817</x:v>
      </x:c>
    </x:row>
    <x:row r="17">
      <x:c r="A17" s="71"/>
      <x:c r="B17" s="71"/>
      <x:c r="C17" s="102" t="str">
        <x:v>Operating profit before exceptional items</x:v>
      </x:c>
      <x:c r="D17" s="103" t="n">
        <x:f>'Historicals'!D16</x:f>
        <x:v>5945</x:v>
      </x:c>
      <x:c r="E17" s="103" t="n">
        <x:f>'Historicals'!E16</x:f>
        <x:v>5704</x:v>
      </x:c>
      <x:c r="F17" s="103" t="n">
        <x:f>'Historicals'!F16</x:f>
        <x:v>5683</x:v>
      </x:c>
      <x:c r="G17" s="109" t="n">
        <x:f>G14-G15-G16</x:f>
        <x:v>4710.055509999999</x:v>
      </x:c>
      <x:c r="H17" s="110" t="n">
        <x:f>H14-H15-H16</x:f>
        <x:v>4945.80178175</x:v>
      </x:c>
      <x:c r="I17" s="110" t="n">
        <x:f>I14-I15-I16</x:f>
        <x:v>5182.76396292065</x:v>
      </x:c>
      <x:c r="J17" s="110" t="n">
        <x:f>J14-J15-J16</x:f>
        <x:v>5420.55873985862</x:v>
      </x:c>
      <x:c r="K17" s="110" t="n">
        <x:f>K14-K15-K16</x:f>
        <x:v>5669.8334669260785</x:v>
      </x:c>
    </x:row>
    <x:row r="18">
      <x:c r="A18" s="71"/>
      <x:c r="B18" s="71"/>
      <x:c r="C18" s="71" t="str">
        <x:v>Exceptional operating costs</x:v>
      </x:c>
      <x:c r="D18" s="101" t="n">
        <x:f>'Historicals'!D15</x:f>
        <x:v>-56</x:v>
      </x:c>
      <x:c r="E18" s="101" t="n">
        <x:f>'Historicals'!E15</x:f>
        <x:v>1369</x:v>
      </x:c>
      <x:c r="F18" s="101" t="n">
        <x:f>'Historicals'!F15</x:f>
        <x:v>2527</x:v>
      </x:c>
      <x:c r="G18" s="106" t="n">
        <x:f>'Assumptions'!G27</x:f>
        <x:v>850</x:v>
      </x:c>
      <x:c r="H18" s="107" t="n">
        <x:f>'Assumptions'!H27</x:f>
        <x:v>350</x:v>
      </x:c>
      <x:c r="I18" s="107" t="n">
        <x:f>'Assumptions'!I27</x:f>
        <x:v>100</x:v>
      </x:c>
      <x:c r="J18" s="107" t="n">
        <x:f>'Assumptions'!J27</x:f>
        <x:v>0</x:v>
      </x:c>
      <x:c r="K18" s="107" t="n">
        <x:f>'Assumptions'!K27</x:f>
        <x:v>0</x:v>
      </x:c>
    </x:row>
    <x:row r="19">
      <x:c r="A19" s="71"/>
      <x:c r="B19" s="71"/>
      <x:c r="C19" s="102" t="str">
        <x:v>Reported operating profit</x:v>
      </x:c>
      <x:c r="D19" s="103" t="n">
        <x:f>'Historicals'!D14</x:f>
        <x:v>6001</x:v>
      </x:c>
      <x:c r="E19" s="103" t="n">
        <x:f>'Historicals'!E14</x:f>
        <x:v>4335</x:v>
      </x:c>
      <x:c r="F19" s="103" t="n">
        <x:f>'Historicals'!F14</x:f>
        <x:v>3156</x:v>
      </x:c>
      <x:c r="G19" s="109" t="n">
        <x:f>G17-G18</x:f>
        <x:v>3860.0555099999992</x:v>
      </x:c>
      <x:c r="H19" s="110" t="n">
        <x:f>H17-H18</x:f>
        <x:v>4595.80178175</x:v>
      </x:c>
      <x:c r="I19" s="110" t="n">
        <x:f>I17-I18</x:f>
        <x:v>5082.76396292065</x:v>
      </x:c>
      <x:c r="J19" s="110" t="n">
        <x:f>J17-J18</x:f>
        <x:v>5420.55873985862</x:v>
      </x:c>
      <x:c r="K19" s="110" t="n">
        <x:f>K17-K18</x:f>
        <x:v>5669.8334669260785</x:v>
      </x:c>
    </x:row>
    <x:row r="20">
      <x:c r="A20" s="71"/>
      <x:c r="B20" s="71"/>
      <x:c r="C20" s="71" t="str">
        <x:v>Net finance charges</x:v>
      </x:c>
      <x:c r="D20" s="101" t="n">
        <x:f>'Historicals'!D17</x:f>
        <x:v>885</x:v>
      </x:c>
      <x:c r="E20" s="101" t="n">
        <x:f>'Historicals'!E17</x:f>
        <x:v>771</x:v>
      </x:c>
      <x:c r="F20" s="101" t="n">
        <x:f>'Historicals'!F17</x:f>
        <x:v>816</x:v>
      </x:c>
      <x:c r="G20" s="106" t="n">
        <x:f>'Schedules'!G48</x:f>
        <x:v>967.995</x:v>
      </x:c>
      <x:c r="H20" s="107" t="n">
        <x:f>'Schedules'!H48</x:f>
        <x:v>919.59525</x:v>
      </x:c>
      <x:c r="I20" s="107" t="n">
        <x:f>'Schedules'!I48</x:f>
        <x:v>890.2904380090313</x:v>
      </x:c>
      <x:c r="J20" s="107" t="n">
        <x:f>'Schedules'!J48</x:f>
        <x:v>864.4898786963305</x:v>
      </x:c>
      <x:c r="K20" s="107" t="n">
        <x:f>'Schedules'!K48</x:f>
        <x:v>838.2207819875524</x:v>
      </x:c>
    </x:row>
    <x:row r="21">
      <x:c r="A21" s="71"/>
      <x:c r="B21" s="71"/>
      <x:c r="C21" s="71" t="str">
        <x:v>Associates and other income</x:v>
      </x:c>
      <x:c r="D21" s="101" t="n">
        <x:f>'Historicals'!D19</x:f>
        <x:v>414</x:v>
      </x:c>
      <x:c r="E21" s="101" t="n">
        <x:f>'Historicals'!E19</x:f>
        <x:v>193</x:v>
      </x:c>
      <x:c r="F21" s="101" t="n">
        <x:f>'Historicals'!F19</x:f>
        <x:v>218</x:v>
      </x:c>
      <x:c r="G21" s="106" t="n">
        <x:f>'Assumptions'!G29</x:f>
        <x:v>150</x:v>
      </x:c>
      <x:c r="H21" s="107" t="n">
        <x:f>'Assumptions'!H29</x:f>
        <x:v>160</x:v>
      </x:c>
      <x:c r="I21" s="107" t="n">
        <x:f>'Assumptions'!I29</x:f>
        <x:v>170</x:v>
      </x:c>
      <x:c r="J21" s="107" t="n">
        <x:f>'Assumptions'!J29</x:f>
        <x:v>180</x:v>
      </x:c>
      <x:c r="K21" s="107" t="n">
        <x:f>'Assumptions'!K29</x:f>
        <x:v>190</x:v>
      </x:c>
    </x:row>
    <x:row r="22">
      <x:c r="A22" s="71"/>
      <x:c r="B22" s="71"/>
      <x:c r="C22" s="102" t="str">
        <x:v>Profit before tax</x:v>
      </x:c>
      <x:c r="D22" s="103" t="n">
        <x:f>'Historicals'!D20</x:f>
        <x:v>5460</x:v>
      </x:c>
      <x:c r="E22" s="103" t="n">
        <x:f>'Historicals'!E20</x:f>
        <x:v>3537</x:v>
      </x:c>
      <x:c r="F22" s="103" t="n">
        <x:f>'Historicals'!F20</x:f>
        <x:v>2564</x:v>
      </x:c>
      <x:c r="G22" s="109" t="n">
        <x:f>G19-G20+G21</x:f>
        <x:v>3042.0605099999993</x:v>
      </x:c>
      <x:c r="H22" s="110" t="n">
        <x:f>H19-H20+H21</x:f>
        <x:v>3836.2065317500005</x:v>
      </x:c>
      <x:c r="I22" s="110" t="n">
        <x:f>I19-I20+I21</x:f>
        <x:v>4362.473524911618</x:v>
      </x:c>
      <x:c r="J22" s="110" t="n">
        <x:f>J19-J20+J21</x:f>
        <x:v>4736.06886116229</x:v>
      </x:c>
      <x:c r="K22" s="110" t="n">
        <x:f>K19-K20+K21</x:f>
        <x:v>5021.612684938526</x:v>
      </x:c>
    </x:row>
    <x:row r="23">
      <x:c r="A23" s="71"/>
      <x:c r="B23" s="71"/>
      <x:c r="C23" s="71" t="str">
        <x:v>Taxation</x:v>
      </x:c>
      <x:c r="D23" s="101" t="n">
        <x:f>'Historicals'!D21</x:f>
        <x:v>1294</x:v>
      </x:c>
      <x:c r="E23" s="101" t="n">
        <x:f>'Historicals'!E21</x:f>
        <x:v>999</x:v>
      </x:c>
      <x:c r="F23" s="101" t="n">
        <x:f>'Historicals'!F21</x:f>
        <x:v>606</x:v>
      </x:c>
      <x:c r="G23" s="106" t="n">
        <x:f>MAX(0,G22*'Assumptions'!G28)</x:f>
        <x:v>760.5151274999998</x:v>
      </x:c>
      <x:c r="H23" s="107" t="n">
        <x:f>MAX(0,H22*'Assumptions'!H28)</x:f>
        <x:v>959.0516329375001</x:v>
      </x:c>
      <x:c r="I23" s="107" t="n">
        <x:f>MAX(0,I22*'Assumptions'!I28)</x:f>
        <x:v>1090.6183812279046</x:v>
      </x:c>
      <x:c r="J23" s="107" t="n">
        <x:f>MAX(0,J22*'Assumptions'!J28)</x:f>
        <x:v>1184.0172152905725</x:v>
      </x:c>
      <x:c r="K23" s="107" t="n">
        <x:f>MAX(0,K22*'Assumptions'!K28)</x:f>
        <x:v>1255.4031712346316</x:v>
      </x:c>
    </x:row>
    <x:row r="24">
      <x:c r="A24" s="71"/>
      <x:c r="B24" s="71"/>
      <x:c r="C24" s="102" t="str">
        <x:v>Profit for the year</x:v>
      </x:c>
      <x:c r="D24" s="103" t="n">
        <x:f>'Historicals'!D22</x:f>
        <x:v>4166</x:v>
      </x:c>
      <x:c r="E24" s="103" t="n">
        <x:f>'Historicals'!E22</x:f>
        <x:v>2538</x:v>
      </x:c>
      <x:c r="F24" s="103" t="n">
        <x:f>'Historicals'!F22</x:f>
        <x:v>1958</x:v>
      </x:c>
      <x:c r="G24" s="109" t="n">
        <x:f>G22-G23</x:f>
        <x:v>2281.5453824999995</x:v>
      </x:c>
      <x:c r="H24" s="110" t="n">
        <x:f>H22-H23</x:f>
        <x:v>2877.1548988125005</x:v>
      </x:c>
      <x:c r="I24" s="110" t="n">
        <x:f>I22-I23</x:f>
        <x:v>3271.855143683714</x:v>
      </x:c>
      <x:c r="J24" s="110" t="n">
        <x:f>J22-J23</x:f>
        <x:v>3552.0516458717175</x:v>
      </x:c>
      <x:c r="K24" s="110" t="n">
        <x:f>K22-K23</x:f>
        <x:v>3766.209513703895</x:v>
      </x:c>
    </x:row>
    <x:row r="25">
      <x:c r="A25" s="71"/>
      <x:c r="B25" s="71"/>
      <x:c r="C25" s="71" t="str">
        <x:v>NCI profit</x:v>
      </x:c>
      <x:c r="D25" s="101" t="n">
        <x:f>'Historicals'!D23</x:f>
        <x:v>296</x:v>
      </x:c>
      <x:c r="E25" s="101" t="n">
        <x:f>'Historicals'!E23</x:f>
        <x:v>184</x:v>
      </x:c>
      <x:c r="F25" s="101" t="n">
        <x:f>'Historicals'!F23</x:f>
        <x:v>221</x:v>
      </x:c>
      <x:c r="G25" s="106" t="n">
        <x:f>G24*10%</x:f>
        <x:v>228.15453824999997</x:v>
      </x:c>
      <x:c r="H25" s="107" t="n">
        <x:f>H24*10%</x:f>
        <x:v>287.71548988125005</x:v>
      </x:c>
      <x:c r="I25" s="107" t="n">
        <x:f>I24*10%</x:f>
        <x:v>327.1855143683714</x:v>
      </x:c>
      <x:c r="J25" s="107" t="n">
        <x:f>J24*10%</x:f>
        <x:v>355.2051645871718</x:v>
      </x:c>
      <x:c r="K25" s="107" t="n">
        <x:f>K24*10%</x:f>
        <x:v>376.62095137038955</x:v>
      </x:c>
    </x:row>
    <x:row r="26">
      <x:c r="A26" s="71"/>
      <x:c r="B26" s="71"/>
      <x:c r="C26" s="102" t="str">
        <x:v>Net income attributable to shareholders</x:v>
      </x:c>
      <x:c r="D26" s="103" t="n">
        <x:f>'Historicals'!D24</x:f>
        <x:v>3870</x:v>
      </x:c>
      <x:c r="E26" s="103" t="n">
        <x:f>'Historicals'!E24</x:f>
        <x:v>2354</x:v>
      </x:c>
      <x:c r="F26" s="103" t="n">
        <x:f>'Historicals'!F24</x:f>
        <x:v>1737</x:v>
      </x:c>
      <x:c r="G26" s="109" t="n">
        <x:f>G24-G25</x:f>
        <x:v>2053.3908442499996</x:v>
      </x:c>
      <x:c r="H26" s="110" t="n">
        <x:f>H24-H25</x:f>
        <x:v>2589.4394089312505</x:v>
      </x:c>
      <x:c r="I26" s="110" t="n">
        <x:f>I24-I25</x:f>
        <x:v>2944.6696293153423</x:v>
      </x:c>
      <x:c r="J26" s="110" t="n">
        <x:f>J24-J25</x:f>
        <x:v>3196.846481284546</x:v>
      </x:c>
      <x:c r="K26" s="110" t="n">
        <x:f>K24-K25</x:f>
        <x:v>3389.5885623335053</x:v>
      </x:c>
    </x:row>
    <x:row r="27">
      <x:c r="A27" s="71"/>
      <x:c r="B27" s="71"/>
      <x:c r="C27" s="71" t="str">
        <x:v>Diluted shares (m)</x:v>
      </x:c>
      <x:c r="D27" s="101" t="n">
        <x:f>'Historicals'!D25</x:f>
        <x:v>2239</x:v>
      </x:c>
      <x:c r="E27" s="101" t="n">
        <x:f>'Historicals'!E25</x:f>
        <x:v>2228</x:v>
      </x:c>
      <x:c r="F27" s="101" t="n">
        <x:f>'Historicals'!F25</x:f>
        <x:v>2231</x:v>
      </x:c>
      <x:c r="G27" s="106" t="n">
        <x:f>$F$27</x:f>
        <x:v>2231</x:v>
      </x:c>
      <x:c r="H27" s="107" t="n">
        <x:f>$F$27</x:f>
        <x:v>2231</x:v>
      </x:c>
      <x:c r="I27" s="107" t="n">
        <x:f>$F$27</x:f>
        <x:v>2231</x:v>
      </x:c>
      <x:c r="J27" s="107" t="n">
        <x:f>$F$27</x:f>
        <x:v>2231</x:v>
      </x:c>
      <x:c r="K27" s="107" t="n">
        <x:f>$F$27</x:f>
        <x:v>2231</x:v>
      </x:c>
    </x:row>
    <x:row r="28">
      <x:c r="A28" s="71"/>
      <x:c r="B28" s="71"/>
      <x:c r="C28" s="71" t="str">
        <x:v>Diluted EPS (cents)</x:v>
      </x:c>
      <x:c r="D28" s="105" t="n">
        <x:f>'Historicals'!D26</x:f>
        <x:v>172.8</x:v>
      </x:c>
      <x:c r="E28" s="105" t="n">
        <x:f>'Historicals'!E26</x:f>
        <x:v>105.7</x:v>
      </x:c>
      <x:c r="F28" s="105" t="n">
        <x:f>'Historicals'!F26</x:f>
        <x:v>77.9</x:v>
      </x:c>
      <x:c r="G28" s="111" t="n">
        <x:f>G26/G27*100</x:f>
        <x:v>92.03903380770953</x:v>
      </x:c>
      <x:c r="H28" s="112" t="n">
        <x:f>H26/H27*100</x:f>
        <x:v>116.06631147159348</x:v>
      </x:c>
      <x:c r="I28" s="112" t="n">
        <x:f>I26/I27*100</x:f>
        <x:v>131.98877764748283</x:v>
      </x:c>
      <x:c r="J28" s="112" t="n">
        <x:f>J26/J27*100</x:f>
        <x:v>143.29208791055785</x:v>
      </x:c>
      <x:c r="K28" s="112" t="n">
        <x:f>K26/K27*100</x:f>
        <x:v>151.93135644704194</x:v>
      </x:c>
    </x:row>
    <x:row r="29">
      <x:c r="A29" s="71"/>
      <x:c r="B29" s="71"/>
      <x:c r="C29" s="71"/>
      <x:c r="D29" s="71"/>
      <x:c r="E29" s="71"/>
      <x:c r="F29" s="71"/>
      <x:c r="G29" s="83"/>
      <x:c r="H29" s="71"/>
      <x:c r="I29" s="71"/>
      <x:c r="J29" s="71"/>
      <x:c r="K29" s="71"/>
    </x:row>
    <x:row r="30">
      <x:c r="A30" s="71"/>
      <x:c r="B30" s="71"/>
      <x:c r="C30" s="71"/>
      <x:c r="D30" s="71"/>
      <x:c r="E30" s="71"/>
      <x:c r="F30" s="71"/>
      <x:c r="G30" s="83"/>
      <x:c r="H30" s="71"/>
      <x:c r="I30" s="71"/>
      <x:c r="J30" s="71"/>
      <x:c r="K30" s="71"/>
    </x:row>
    <x:row r="31">
      <x:c r="A31" s="71"/>
      <x:c r="B31" s="71"/>
      <x:c r="C31" s="71"/>
      <x:c r="D31" s="71"/>
      <x:c r="E31" s="71"/>
      <x:c r="F31" s="71"/>
      <x:c r="G31" s="83"/>
      <x:c r="H31" s="71"/>
      <x:c r="I31" s="71"/>
      <x:c r="J31" s="71"/>
      <x:c r="K31" s="71"/>
    </x:row>
    <x:row r="32">
      <x:c r="A32" s="71"/>
      <x:c r="B32" s="71"/>
      <x:c r="C32" s="75" t="str">
        <x:v>Margins and growth</x:v>
      </x:c>
      <x:c r="D32" s="75"/>
      <x:c r="E32" s="75"/>
      <x:c r="F32" s="75"/>
      <x:c r="G32" s="85"/>
      <x:c r="H32" s="75"/>
      <x:c r="I32" s="75"/>
      <x:c r="J32" s="75"/>
      <x:c r="K32" s="75"/>
    </x:row>
    <x:row r="33">
      <x:c r="A33" s="71"/>
      <x:c r="B33" s="71"/>
      <x:c r="C33" s="71" t="str">
        <x:v>Net sales growth</x:v>
      </x:c>
      <x:c r="D33" s="92"/>
      <x:c r="E33" s="92" t="n">
        <x:f>E9/D9-1</x:f>
        <x:v>-0.0011840742019832984</x:v>
      </x:c>
      <x:c r="F33" s="92" t="n">
        <x:f>F9/E9-1</x:f>
        <x:v>-0.029735737219066416</x:v>
      </x:c>
      <x:c r="G33" s="91" t="n">
        <x:f>G9/F9-1</x:f>
        <x:v>-0.006619660947920325</x:v>
      </x:c>
      <x:c r="H33" s="92" t="n">
        <x:f>H9/G9-1</x:f>
        <x:v>0.02034565727308557</x:v>
      </x:c>
      <x:c r="I33" s="92" t="n">
        <x:f>I9/H9-1</x:f>
        <x:v>0.029260355646266945</x:v>
      </x:c>
      <x:c r="J33" s="92" t="n">
        <x:f>J9/I9-1</x:f>
        <x:v>0.03448330206270134</x:v>
      </x:c>
      <x:c r="K33" s="92" t="n">
        <x:f>K9/J9-1</x:f>
        <x:v>0.03453414295269974</x:v>
      </x:c>
    </x:row>
    <x:row r="34">
      <x:c r="A34" s="71"/>
      <x:c r="B34" s="71"/>
      <x:c r="C34" s="71" t="str">
        <x:v>Gross margin</x:v>
      </x:c>
      <x:c r="D34" s="92" t="n">
        <x:f>D11/D9</x:f>
        <x:v>0.6018057131580246</x:v>
      </x:c>
      <x:c r="E34" s="92" t="n">
        <x:f>E11/E9</x:f>
        <x:v>0.6012842677204248</x:v>
      </x:c>
      <x:c r="F34" s="92" t="n">
        <x:f>F11/F9</x:f>
        <x:v>0.5946647660744285</x:v>
      </x:c>
      <x:c r="G34" s="91" t="n">
        <x:f>G11/G9</x:f>
        <x:v>0.598</x:v>
      </x:c>
      <x:c r="H34" s="92" t="n">
        <x:f>H11/H9</x:f>
        <x:v>0.602</x:v>
      </x:c>
      <x:c r="I34" s="92" t="n">
        <x:f>I11/I9</x:f>
        <x:v>0.605</x:v>
      </x:c>
      <x:c r="J34" s="92" t="n">
        <x:f>J11/J9</x:f>
        <x:v>0.607</x:v>
      </x:c>
      <x:c r="K34" s="92" t="n">
        <x:f>K11/K9</x:f>
        <x:v>0.609</x:v>
      </x:c>
    </x:row>
    <x:row r="35">
      <x:c r="A35" s="71"/>
      <x:c r="B35" s="71"/>
      <x:c r="C35" s="71" t="str">
        <x:v>Adjusted EBITDA margin</x:v>
      </x:c>
      <x:c r="D35" s="92" t="n">
        <x:f>D14/D9</x:f>
        <x:v>0.31762790468202673</x:v>
      </x:c>
      <x:c r="E35" s="92" t="n">
        <x:f>E14/E9</x:f>
        <x:v>0.3666090392689553</x:v>
      </x:c>
      <x:c r="F35" s="92" t="n">
        <x:f>F14/F9</x:f>
        <x:v>0.41556788677900525</x:v>
      </x:c>
      <x:c r="G35" s="91" t="n">
        <x:f>G14/G9</x:f>
        <x:v>0.2829999999999999</x:v>
      </x:c>
      <x:c r="H35" s="92" t="n">
        <x:f>H14/H9</x:f>
        <x:v>0.29100000000000004</x:v>
      </x:c>
      <x:c r="I35" s="92" t="n">
        <x:f>I14/I9</x:f>
        <x:v>0.29599999999999993</x:v>
      </x:c>
      <x:c r="J35" s="92" t="n">
        <x:f>J14/J9</x:f>
        <x:v>0.29899999999999993</x:v>
      </x:c>
      <x:c r="K35" s="92" t="n">
        <x:f>K14/K9</x:f>
        <x:v>0.30199999999999994</x:v>
      </x:c>
    </x:row>
    <x:row r="36">
      <x:c r="A36" s="71"/>
      <x:c r="B36" s="71"/>
      <x:c r="C36" s="71" t="str">
        <x:v>Adjusted operating margin</x:v>
      </x:c>
      <x:c r="D36" s="92" t="n">
        <x:f>D17/D9</x:f>
        <x:v>0.29330504711628597</x:v>
      </x:c>
      <x:c r="E36" s="92" t="n">
        <x:f>E17/E9</x:f>
        <x:v>0.28174857989627067</x:v>
      </x:c>
      <x:c r="F36" s="92" t="n">
        <x:f>F17/F9</x:f>
        <x:v>0.28931425953265794</x:v>
      </x:c>
      <x:c r="G36" s="91" t="n">
        <x:f>G17/G9</x:f>
        <x:v>0.241380759054106</x:v>
      </x:c>
      <x:c r="H36" s="92" t="n">
        <x:f>H17/H9</x:f>
        <x:v>0.24840824664403635</x:v>
      </x:c>
      <x:c r="I36" s="92" t="n">
        <x:f>I17/I9</x:f>
        <x:v>0.2529097008319184</x:v>
      </x:c>
      <x:c r="J36" s="92" t="n">
        <x:f>J17/J9</x:f>
        <x:v>0.25569640824370155</x:v>
      </x:c>
      <x:c r="K36" s="92" t="n">
        <x:f>K17/K9</x:f>
        <x:v>0.25852708375300043</x:v>
      </x:c>
    </x:row>
    <x:row r="37">
      <x:c r="A37" s="71"/>
      <x:c r="B37" s="71"/>
      <x:c r="C37" s="71" t="str">
        <x:v>Reported operating margin</x:v>
      </x:c>
      <x:c r="D37" s="92" t="n">
        <x:f>D19/D9</x:f>
        <x:v>0.29606788692091374</x:v>
      </x:c>
      <x:c r="E37" s="92" t="n">
        <x:f>E19/E9</x:f>
        <x:v>0.21412694492467277</x:v>
      </x:c>
      <x:c r="F37" s="92" t="n">
        <x:f>F19/F9</x:f>
        <x:v>0.16066792241510972</x:v>
      </x:c>
      <x:c r="G37" s="91" t="n">
        <x:f>G19/G9</x:f>
        <x:v>0.19781998896118833</x:v>
      </x:c>
      <x:c r="H37" s="92" t="n">
        <x:f>H19/H9</x:f>
        <x:v>0.23082911788755608</x:v>
      </x:c>
      <x:c r="I37" s="92" t="n">
        <x:f>I19/I9</x:f>
        <x:v>0.24802987796826254</x:v>
      </x:c>
      <x:c r="J37" s="92" t="n">
        <x:f>J19/J9</x:f>
        <x:v>0.25569640824370155</x:v>
      </x:c>
      <x:c r="K37" s="92" t="n">
        <x:f>K19/K9</x:f>
        <x:v>0.25852708375300043</x:v>
      </x:c>
    </x:row>
    <x:row r="38">
      <x:c r="A38" s="71"/>
      <x:c r="B38" s="71"/>
      <x:c r="C38" s="71" t="str">
        <x:v>Effective tax rate</x:v>
      </x:c>
      <x:c r="D38" s="92" t="n">
        <x:f>D23/D22</x:f>
        <x:v>0.236996336996337</x:v>
      </x:c>
      <x:c r="E38" s="92" t="n">
        <x:f>E23/E22</x:f>
        <x:v>0.2824427480916031</x:v>
      </x:c>
      <x:c r="F38" s="92" t="n">
        <x:f>F23/F22</x:f>
        <x:v>0.23634945397815912</x:v>
      </x:c>
      <x:c r="G38" s="91" t="n">
        <x:f>G23/G22</x:f>
        <x:v>0.25</x:v>
      </x:c>
      <x:c r="H38" s="92" t="n">
        <x:f>H23/H22</x:f>
        <x:v>0.25</x:v>
      </x:c>
      <x:c r="I38" s="92" t="n">
        <x:f>I23/I22</x:f>
        <x:v>0.25</x:v>
      </x:c>
      <x:c r="J38" s="92" t="n">
        <x:f>J23/J22</x:f>
        <x:v>0.25</x:v>
      </x:c>
      <x:c r="K38" s="92" t="n">
        <x:f>K23/K22</x:f>
        <x:v>0.25</x:v>
      </x:c>
    </x:row>
    <x:row r="39">
      <x:c r="A39" s="71"/>
      <x:c r="B39" s="71"/>
      <x:c r="C39" s="71"/>
      <x:c r="D39" s="71"/>
      <x:c r="E39" s="71"/>
      <x:c r="F39" s="71"/>
      <x:c r="G39" s="71"/>
      <x:c r="H39" s="71"/>
      <x:c r="I39" s="71"/>
      <x:c r="J39" s="71"/>
      <x:c r="K39" s="71"/>
    </x:row>
    <x:row r="40">
      <x:c r="A40" s="71"/>
      <x:c r="B40" s="71"/>
      <x:c r="C40" s="71"/>
      <x:c r="D40" s="71"/>
      <x:c r="E40" s="71"/>
      <x:c r="F40" s="71"/>
      <x:c r="G40" s="71"/>
      <x:c r="H40" s="71"/>
      <x:c r="I40" s="71"/>
      <x:c r="J40" s="71"/>
      <x:c r="K40" s="71"/>
    </x:row>
    <x:row r="41">
      <x:c r="A41" s="71"/>
      <x:c r="B41" s="71"/>
      <x:c r="C41" s="71"/>
      <x:c r="D41" s="71"/>
      <x:c r="E41" s="71"/>
      <x:c r="F41" s="71"/>
      <x:c r="G41" s="71"/>
      <x:c r="H41" s="71"/>
      <x:c r="I41" s="71"/>
      <x:c r="J41" s="71"/>
      <x:c r="K41" s="71"/>
    </x:row>
    <x:row r="42">
      <x:c r="A42" s="71"/>
      <x:c r="B42" s="71"/>
      <x:c r="C42" s="71"/>
      <x:c r="D42" s="71"/>
      <x:c r="E42" s="71"/>
      <x:c r="F42" s="71"/>
      <x:c r="G42" s="71"/>
      <x:c r="H42" s="71"/>
      <x:c r="I42" s="71"/>
      <x:c r="J42" s="71"/>
      <x:c r="K42" s="7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A6A6A6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71"/>
      <x:c r="B1" s="71"/>
      <x:c r="C1" s="79"/>
      <x:c r="D1" s="71"/>
      <x:c r="E1" s="71"/>
      <x:c r="F1" s="71"/>
      <x:c r="G1" s="71"/>
      <x:c r="H1" s="71"/>
      <x:c r="I1" s="71"/>
      <x:c r="J1" s="71"/>
      <x:c r="K1" s="71"/>
    </x:row>
    <x:row r="2">
      <x:c r="A2" s="71"/>
      <x:c r="B2" s="71"/>
      <x:c r="C2" s="72" t="str">
        <x:v>Supporting schedules</x:v>
      </x:c>
      <x:c r="D2" s="71"/>
      <x:c r="E2" s="71"/>
      <x:c r="F2" s="71"/>
      <x:c r="G2" s="71"/>
      <x:c r="H2" s="71"/>
      <x:c r="I2" s="71"/>
      <x:c r="J2" s="71"/>
      <x:c r="K2" s="71"/>
    </x:row>
    <x:row r="3">
      <x:c r="A3" s="71"/>
      <x:c r="B3" s="71"/>
      <x:c r="C3" s="73" t="str">
        <x:v>Working capital, fixed assets, debt, interest and equity | US$ millions</x:v>
      </x:c>
      <x:c r="D3" s="73"/>
      <x:c r="E3" s="73"/>
      <x:c r="F3" s="73"/>
      <x:c r="G3" s="73"/>
      <x:c r="H3" s="73"/>
      <x:c r="I3" s="73"/>
      <x:c r="J3" s="73"/>
      <x:c r="K3" s="73"/>
    </x:row>
    <x:row r="4">
      <x:c r="A4" s="71"/>
      <x:c r="B4" s="71"/>
      <x:c r="C4" s="74"/>
      <x:c r="D4" s="74"/>
      <x:c r="E4" s="74"/>
      <x:c r="F4" s="74"/>
      <x:c r="G4" s="74"/>
      <x:c r="H4" s="74"/>
      <x:c r="I4" s="74"/>
      <x:c r="J4" s="74"/>
      <x:c r="K4" s="74"/>
    </x:row>
    <x:row r="5">
      <x:c r="A5" s="71"/>
      <x:c r="B5" s="71"/>
      <x:c r="C5" s="71"/>
      <x:c r="D5" s="71"/>
      <x:c r="E5" s="71"/>
      <x:c r="F5" s="71"/>
      <x:c r="G5" s="71"/>
      <x:c r="H5" s="71"/>
      <x:c r="I5" s="71"/>
      <x:c r="J5" s="71"/>
      <x:c r="K5" s="71"/>
    </x:row>
    <x:row r="6">
      <x:c r="A6" s="71"/>
      <x:c r="B6" s="71"/>
      <x:c r="C6" s="71"/>
      <x:c r="D6" s="80" t="str">
        <x:v>FY:24A</x:v>
      </x:c>
      <x:c r="E6" s="80" t="str">
        <x:v>FY:25A</x:v>
      </x:c>
      <x:c r="F6" s="80" t="str">
        <x:v>FY:26A</x:v>
      </x:c>
      <x:c r="G6" s="81" t="str">
        <x:v>FY:27E</x:v>
      </x:c>
      <x:c r="H6" s="82" t="str">
        <x:v>FY:28E</x:v>
      </x:c>
      <x:c r="I6" s="82" t="str">
        <x:v>FY:29E</x:v>
      </x:c>
      <x:c r="J6" s="82" t="str">
        <x:v>FY:30E</x:v>
      </x:c>
      <x:c r="K6" s="82" t="str">
        <x:v>FY:31E</x:v>
      </x:c>
    </x:row>
    <x:row r="7">
      <x:c r="A7" s="71"/>
      <x:c r="B7" s="71"/>
      <x:c r="C7" s="71"/>
      <x:c r="D7" s="71"/>
      <x:c r="E7" s="71"/>
      <x:c r="F7" s="71"/>
      <x:c r="G7" s="83"/>
      <x:c r="H7" s="71"/>
      <x:c r="I7" s="71"/>
      <x:c r="J7" s="71"/>
      <x:c r="K7" s="71"/>
    </x:row>
    <x:row r="8">
      <x:c r="A8" s="71"/>
      <x:c r="B8" s="71"/>
      <x:c r="C8" s="75" t="str">
        <x:v>Operating balance sheet drivers</x:v>
      </x:c>
      <x:c r="D8" s="75"/>
      <x:c r="E8" s="75"/>
      <x:c r="F8" s="75"/>
      <x:c r="G8" s="85"/>
      <x:c r="H8" s="75"/>
      <x:c r="I8" s="75"/>
      <x:c r="J8" s="75"/>
      <x:c r="K8" s="75"/>
    </x:row>
    <x:row r="9">
      <x:c r="A9" s="71"/>
      <x:c r="B9" s="71"/>
      <x:c r="C9" s="71" t="str">
        <x:v>Net sales</x:v>
      </x:c>
      <x:c r="D9" s="101" t="n">
        <x:f>'Historicals'!D9</x:f>
        <x:v>20269</x:v>
      </x:c>
      <x:c r="E9" s="101" t="n">
        <x:f>'Historicals'!E9</x:f>
        <x:v>20245</x:v>
      </x:c>
      <x:c r="F9" s="101" t="n">
        <x:f>'Historicals'!F9</x:f>
        <x:v>19643</x:v>
      </x:c>
      <x:c r="G9" s="106" t="n">
        <x:f>'Revenue Build'!G15</x:f>
        <x:v>19512.97</x:v>
      </x:c>
      <x:c r="H9" s="107" t="n">
        <x:f>'Revenue Build'!H15</x:f>
        <x:v>19909.9742</x:v>
      </x:c>
      <x:c r="I9" s="107" t="n">
        <x:f>'Revenue Build'!I15</x:f>
        <x:v>20492.547126</x:v>
      </x:c>
      <x:c r="J9" s="107" t="n">
        <x:f>'Revenue Build'!J15</x:f>
        <x:v>21199.197818580004</x:v>
      </x:c>
      <x:c r="K9" s="107" t="n">
        <x:f>'Revenue Build'!K15</x:f>
        <x:v>21931.293946529404</x:v>
      </x:c>
    </x:row>
    <x:row r="10">
      <x:c r="A10" s="71"/>
      <x:c r="B10" s="71"/>
      <x:c r="C10" s="71" t="str">
        <x:v>Receivables</x:v>
      </x:c>
      <x:c r="D10" s="101" t="n">
        <x:f>'Historicals'!D34</x:f>
        <x:v>3487</x:v>
      </x:c>
      <x:c r="E10" s="101" t="n">
        <x:f>'Historicals'!E34</x:f>
        <x:v>3504</x:v>
      </x:c>
      <x:c r="F10" s="101" t="n">
        <x:f>'Historicals'!F34</x:f>
        <x:v>3277</x:v>
      </x:c>
      <x:c r="G10" s="106" t="n">
        <x:f>G9*'Assumptions'!G34</x:f>
        <x:v>3317.2049000000006</x:v>
      </x:c>
      <x:c r="H10" s="107" t="n">
        <x:f>H9*'Assumptions'!H34</x:f>
        <x:v>3344.8756656000005</x:v>
      </x:c>
      <x:c r="I10" s="107" t="n">
        <x:f>I9*'Assumptions'!I34</x:f>
        <x:v>3401.7628229160005</x:v>
      </x:c>
      <x:c r="J10" s="107" t="n">
        <x:f>J9*'Assumptions'!J34</x:f>
        <x:v>3497.867640065701</x:v>
      </x:c>
      <x:c r="K10" s="107" t="n">
        <x:f>K9*'Assumptions'!K34</x:f>
        <x:v>3618.663501177352</x:v>
      </x:c>
    </x:row>
    <x:row r="11">
      <x:c r="A11" s="71"/>
      <x:c r="B11" s="71"/>
      <x:c r="C11" s="71" t="str">
        <x:v>Inventory</x:v>
      </x:c>
      <x:c r="D11" s="101" t="n">
        <x:f>'Historicals'!D33</x:f>
        <x:v>9720</x:v>
      </x:c>
      <x:c r="E11" s="101" t="n">
        <x:f>'Historicals'!E33</x:f>
        <x:v>10658</x:v>
      </x:c>
      <x:c r="F11" s="101" t="n">
        <x:f>'Historicals'!F33</x:f>
        <x:v>10529</x:v>
      </x:c>
      <x:c r="G11" s="106" t="n">
        <x:f>G9*'Assumptions'!G35</x:f>
        <x:v>10439.438950000002</x:v>
      </x:c>
      <x:c r="H11" s="107" t="n">
        <x:f>H9*'Assumptions'!H35</x:f>
        <x:v>10452.736455</x:v>
      </x:c>
      <x:c r="I11" s="107" t="n">
        <x:f>I9*'Assumptions'!I35</x:f>
        <x:v>10553.66176989</x:v>
      </x:c>
      <x:c r="J11" s="107" t="n">
        <x:f>J9*'Assumptions'!J35</x:f>
        <x:v>10705.594898382902</x:v>
      </x:c>
      <x:c r="K11" s="107" t="n">
        <x:f>K9*'Assumptions'!K35</x:f>
        <x:v>10965.646973264702</x:v>
      </x:c>
    </x:row>
    <x:row r="12">
      <x:c r="A12" s="71"/>
      <x:c r="B12" s="71"/>
      <x:c r="C12" s="71" t="str">
        <x:v>Other current assets</x:v>
      </x:c>
      <x:c r="D12" s="101" t="n">
        <x:f>'Historicals'!D35</x:f>
        <x:v>789</x:v>
      </x:c>
      <x:c r="E12" s="101" t="n">
        <x:f>'Historicals'!E35</x:f>
        <x:v>1135</x:v>
      </x:c>
      <x:c r="F12" s="101" t="n">
        <x:f>'Historicals'!F35</x:f>
        <x:v>1886</x:v>
      </x:c>
      <x:c r="G12" s="106" t="n">
        <x:f>G9*'Assumptions'!G37</x:f>
        <x:v>1365.9079000000002</x:v>
      </x:c>
      <x:c r="H12" s="107" t="n">
        <x:f>H9*'Assumptions'!H37</x:f>
        <x:v>1393.6981940000003</x:v>
      </x:c>
      <x:c r="I12" s="107" t="n">
        <x:f>I9*'Assumptions'!I37</x:f>
        <x:v>1434.4782988200002</x:v>
      </x:c>
      <x:c r="J12" s="107" t="n">
        <x:f>J9*'Assumptions'!J37</x:f>
        <x:v>1483.9438473006003</x:v>
      </x:c>
      <x:c r="K12" s="107" t="n">
        <x:f>K9*'Assumptions'!K37</x:f>
        <x:v>1535.1905762570584</x:v>
      </x:c>
    </x:row>
    <x:row r="13">
      <x:c r="A13" s="71"/>
      <x:c r="B13" s="71"/>
      <x:c r="C13" s="71" t="str">
        <x:v>Other non-current assets</x:v>
      </x:c>
      <x:c r="D13" s="101" t="n">
        <x:f>'Historicals'!D32</x:f>
        <x:v>7025</x:v>
      </x:c>
      <x:c r="E13" s="101" t="n">
        <x:f>'Historicals'!E32</x:f>
        <x:v>7521</x:v>
      </x:c>
      <x:c r="F13" s="101" t="n">
        <x:f>'Historicals'!F32</x:f>
        <x:v>7262</x:v>
      </x:c>
      <x:c r="G13" s="106" t="n">
        <x:f>G9*'Assumptions'!G38</x:f>
        <x:v>6829.5395</x:v>
      </x:c>
      <x:c r="H13" s="107" t="n">
        <x:f>H9*'Assumptions'!H38</x:f>
        <x:v>6868.941099</x:v>
      </x:c>
      <x:c r="I13" s="107" t="n">
        <x:f>I9*'Assumptions'!I38</x:f>
        <x:v>6967.466022840001</x:v>
      </x:c>
      <x:c r="J13" s="107" t="n">
        <x:f>J9*'Assumptions'!J38</x:f>
        <x:v>7101.731269224301</x:v>
      </x:c>
      <x:c r="K13" s="107" t="n">
        <x:f>K9*'Assumptions'!K38</x:f>
        <x:v>7237.327002354704</x:v>
      </x:c>
    </x:row>
    <x:row r="14">
      <x:c r="A14" s="71"/>
      <x:c r="B14" s="71"/>
      <x:c r="C14" s="71" t="str">
        <x:v>Trade payables</x:v>
      </x:c>
      <x:c r="D14" s="101" t="n">
        <x:f>'Historicals'!D39</x:f>
        <x:v>6658</x:v>
      </x:c>
      <x:c r="E14" s="101" t="n">
        <x:f>'Historicals'!E39</x:f>
        <x:v>7144</x:v>
      </x:c>
      <x:c r="F14" s="101" t="n">
        <x:f>'Historicals'!F39</x:f>
        <x:v>6575</x:v>
      </x:c>
      <x:c r="G14" s="106" t="n">
        <x:f>G9*'Assumptions'!G36</x:f>
        <x:v>5853.8910000000005</x:v>
      </x:c>
      <x:c r="H14" s="107" t="n">
        <x:f>H9*'Assumptions'!H36</x:f>
        <x:v>5972.99226</x:v>
      </x:c>
      <x:c r="I14" s="107" t="n">
        <x:f>I9*'Assumptions'!I36</x:f>
        <x:v>6147.7641378</x:v>
      </x:c>
      <x:c r="J14" s="107" t="n">
        <x:f>J9*'Assumptions'!J36</x:f>
        <x:v>6359.759345574001</x:v>
      </x:c>
      <x:c r="K14" s="107" t="n">
        <x:f>K9*'Assumptions'!K36</x:f>
        <x:v>6579.388183958821</x:v>
      </x:c>
    </x:row>
    <x:row r="15">
      <x:c r="A15" s="71"/>
      <x:c r="B15" s="71"/>
      <x:c r="C15" s="71" t="str">
        <x:v>Other operating liabilities</x:v>
      </x:c>
      <x:c r="D15" s="101" t="n">
        <x:f>'Historicals'!D40</x:f>
        <x:v>5245</x:v>
      </x:c>
      <x:c r="E15" s="101" t="n">
        <x:f>'Historicals'!E40</x:f>
        <x:v>5252</x:v>
      </x:c>
      <x:c r="F15" s="101" t="n">
        <x:f>'Historicals'!F40</x:f>
        <x:v>5805</x:v>
      </x:c>
      <x:c r="G15" s="106" t="n">
        <x:f>G9*'Assumptions'!G39</x:f>
        <x:v>5463.631600000001</x:v>
      </x:c>
      <x:c r="H15" s="107" t="n">
        <x:f>H9*'Assumptions'!H39</x:f>
        <x:v>5574.792776000001</x:v>
      </x:c>
      <x:c r="I15" s="107" t="n">
        <x:f>I9*'Assumptions'!I39</x:f>
        <x:v>5737.913195280001</x:v>
      </x:c>
      <x:c r="J15" s="107" t="n">
        <x:f>J9*'Assumptions'!J39</x:f>
        <x:v>5935.775389202401</x:v>
      </x:c>
      <x:c r="K15" s="107" t="n">
        <x:f>K9*'Assumptions'!K39</x:f>
        <x:v>6140.762305028234</x:v>
      </x:c>
    </x:row>
    <x:row r="16">
      <x:c r="A16" s="71"/>
      <x:c r="B16" s="71"/>
      <x:c r="C16" s="102" t="str">
        <x:v>Operating net working capital</x:v>
      </x:c>
      <x:c r="D16" s="103" t="n">
        <x:f>D10+D11+D12-D14-D15</x:f>
        <x:v>2093</x:v>
      </x:c>
      <x:c r="E16" s="103" t="n">
        <x:f>E10+E11+E12-E14-E15</x:f>
        <x:v>2901</x:v>
      </x:c>
      <x:c r="F16" s="103" t="n">
        <x:f>F10+F11+F12-F14-F15</x:f>
        <x:v>3312</x:v>
      </x:c>
      <x:c r="G16" s="109" t="n">
        <x:f>G10+G11+G12-G14-G15</x:f>
        <x:v>3805.029150000002</x:v>
      </x:c>
      <x:c r="H16" s="110" t="n">
        <x:f>H10+H11+H12-H14-H15</x:f>
        <x:v>3643.525278599999</x:v>
      </x:c>
      <x:c r="I16" s="110" t="n">
        <x:f>I10+I11+I12-I14-I15</x:f>
        <x:v>3504.2255585460016</x:v>
      </x:c>
      <x:c r="J16" s="110" t="n">
        <x:f>J10+J11+J12-J14-J15</x:f>
        <x:v>3391.871650972802</x:v>
      </x:c>
      <x:c r="K16" s="110" t="n">
        <x:f>K10+K11+K12-K14-K15</x:f>
        <x:v>3399.350561712058</x:v>
      </x:c>
    </x:row>
    <x:row r="17">
      <x:c r="A17" s="71"/>
      <x:c r="B17" s="71"/>
      <x:c r="C17" s="71" t="str">
        <x:v>Change in operating NWC</x:v>
      </x:c>
      <x:c r="D17" s="101"/>
      <x:c r="E17" s="101" t="n">
        <x:f>E16-D16</x:f>
        <x:v>808</x:v>
      </x:c>
      <x:c r="F17" s="101" t="n">
        <x:f>F16-E16</x:f>
        <x:v>411</x:v>
      </x:c>
      <x:c r="G17" s="106" t="n">
        <x:f>G16-F16</x:f>
        <x:v>493.0291500000021</x:v>
      </x:c>
      <x:c r="H17" s="107" t="n">
        <x:f>H16-G16</x:f>
        <x:v>-161.50387140000294</x:v>
      </x:c>
      <x:c r="I17" s="107" t="n">
        <x:f>I16-H16</x:f>
        <x:v>-139.2997200539976</x:v>
      </x:c>
      <x:c r="J17" s="107" t="n">
        <x:f>J16-I16</x:f>
        <x:v>-112.35390757319965</x:v>
      </x:c>
      <x:c r="K17" s="107" t="n">
        <x:f>K16-J16</x:f>
        <x:v>7.478910739256207</x:v>
      </x:c>
    </x:row>
    <x:row r="18">
      <x:c r="A18" s="71"/>
      <x:c r="B18" s="71"/>
      <x:c r="C18" s="71"/>
      <x:c r="D18" s="71"/>
      <x:c r="E18" s="71"/>
      <x:c r="F18" s="71"/>
      <x:c r="G18" s="113"/>
      <x:c r="H18" s="114"/>
      <x:c r="I18" s="114"/>
      <x:c r="J18" s="114"/>
      <x:c r="K18" s="114"/>
    </x:row>
    <x:row r="19">
      <x:c r="A19" s="71"/>
      <x:c r="B19" s="71"/>
      <x:c r="C19" s="71"/>
      <x:c r="D19" s="71"/>
      <x:c r="E19" s="71"/>
      <x:c r="F19" s="71"/>
      <x:c r="G19" s="113"/>
      <x:c r="H19" s="114"/>
      <x:c r="I19" s="114"/>
      <x:c r="J19" s="114"/>
      <x:c r="K19" s="114"/>
    </x:row>
    <x:row r="20">
      <x:c r="A20" s="71"/>
      <x:c r="B20" s="71"/>
      <x:c r="C20" s="71"/>
      <x:c r="D20" s="71"/>
      <x:c r="E20" s="71"/>
      <x:c r="F20" s="71"/>
      <x:c r="G20" s="113"/>
      <x:c r="H20" s="114"/>
      <x:c r="I20" s="114"/>
      <x:c r="J20" s="114"/>
      <x:c r="K20" s="114"/>
    </x:row>
    <x:row r="21">
      <x:c r="A21" s="71"/>
      <x:c r="B21" s="71"/>
      <x:c r="C21" s="75" t="str">
        <x:v>PP&amp;E and intangibles</x:v>
      </x:c>
      <x:c r="D21" s="75"/>
      <x:c r="E21" s="75"/>
      <x:c r="F21" s="75"/>
      <x:c r="G21" s="115"/>
      <x:c r="H21" s="116"/>
      <x:c r="I21" s="116"/>
      <x:c r="J21" s="116"/>
      <x:c r="K21" s="116"/>
    </x:row>
    <x:row r="22">
      <x:c r="A22" s="71"/>
      <x:c r="B22" s="71"/>
      <x:c r="C22" s="71" t="str">
        <x:v>Opening PP&amp;E</x:v>
      </x:c>
      <x:c r="D22" s="101"/>
      <x:c r="E22" s="101"/>
      <x:c r="F22" s="101"/>
      <x:c r="G22" s="106" t="n">
        <x:f>F25</x:f>
        <x:v>8996</x:v>
      </x:c>
      <x:c r="H22" s="107" t="n">
        <x:f>G25</x:f>
        <x:v>9582.0382</x:v>
      </x:c>
      <x:c r="I22" s="107" t="n">
        <x:f>H25</x:f>
        <x:v>10153.804169000001</x:v>
      </x:c>
      <x:c r="J22" s="107" t="n">
        <x:f>I25</x:f>
        <x:v>10723.359725575</x:v>
      </x:c>
      <x:c r="K22" s="107" t="n">
        <x:f>J25</x:f>
        <x:v>11298.293212527424</x:v>
      </x:c>
    </x:row>
    <x:row r="23">
      <x:c r="A23" s="71"/>
      <x:c r="B23" s="71"/>
      <x:c r="C23" s="71" t="str">
        <x:v>Capital expenditure</x:v>
      </x:c>
      <x:c r="D23" s="101"/>
      <x:c r="E23" s="101"/>
      <x:c r="F23" s="101"/>
      <x:c r="G23" s="106" t="n">
        <x:f>G9*'Assumptions'!G40</x:f>
        <x:v>1170.7782</x:v>
      </x:c>
      <x:c r="H23" s="107" t="n">
        <x:f>H9*'Assumptions'!H40</x:f>
        <x:v>1194.598452</x:v>
      </x:c>
      <x:c r="I23" s="107" t="n">
        <x:f>I9*'Assumptions'!I40</x:f>
        <x:v>1229.55282756</x:v>
      </x:c>
      <x:c r="J23" s="107" t="n">
        <x:f>J9*'Assumptions'!J40</x:f>
        <x:v>1271.9518691148003</x:v>
      </x:c>
      <x:c r="K23" s="107" t="n">
        <x:f>K9*'Assumptions'!K40</x:f>
        <x:v>1315.8776367917642</x:v>
      </x:c>
    </x:row>
    <x:row r="24">
      <x:c r="A24" s="71"/>
      <x:c r="B24" s="71"/>
      <x:c r="C24" s="71" t="str">
        <x:v>Depreciation</x:v>
      </x:c>
      <x:c r="D24" s="101"/>
      <x:c r="E24" s="101"/>
      <x:c r="F24" s="101"/>
      <x:c r="G24" s="106" t="n">
        <x:f>G22*'Assumptions'!G42</x:f>
        <x:v>584.74</x:v>
      </x:c>
      <x:c r="H24" s="107" t="n">
        <x:f>H22*'Assumptions'!H42</x:f>
        <x:v>622.832483</x:v>
      </x:c>
      <x:c r="I24" s="107" t="n">
        <x:f>I22*'Assumptions'!I42</x:f>
        <x:v>659.9972709850001</x:v>
      </x:c>
      <x:c r="J24" s="107" t="n">
        <x:f>J22*'Assumptions'!J42</x:f>
        <x:v>697.018382162375</x:v>
      </x:c>
      <x:c r="K24" s="107" t="n">
        <x:f>K22*'Assumptions'!K42</x:f>
        <x:v>734.3890588142825</x:v>
      </x:c>
    </x:row>
    <x:row r="25">
      <x:c r="A25" s="71"/>
      <x:c r="B25" s="71"/>
      <x:c r="C25" s="102" t="str">
        <x:v>Closing PP&amp;E</x:v>
      </x:c>
      <x:c r="D25" s="103" t="n">
        <x:f>'Historicals'!D31</x:f>
        <x:v>8509</x:v>
      </x:c>
      <x:c r="E25" s="103" t="n">
        <x:f>'Historicals'!E31</x:f>
        <x:v>9528</x:v>
      </x:c>
      <x:c r="F25" s="103" t="n">
        <x:f>'Historicals'!F31</x:f>
        <x:v>8996</x:v>
      </x:c>
      <x:c r="G25" s="109" t="n">
        <x:f>G22+G23-G24</x:f>
        <x:v>9582.0382</x:v>
      </x:c>
      <x:c r="H25" s="110" t="n">
        <x:f>H22+H23-H24</x:f>
        <x:v>10153.804169000001</x:v>
      </x:c>
      <x:c r="I25" s="110" t="n">
        <x:f>I22+I23-I24</x:f>
        <x:v>10723.359725575</x:v>
      </x:c>
      <x:c r="J25" s="110" t="n">
        <x:f>J22+J23-J24</x:f>
        <x:v>11298.293212527424</x:v>
      </x:c>
      <x:c r="K25" s="110" t="n">
        <x:f>K22+K23-K24</x:f>
        <x:v>11879.781790504905</x:v>
      </x:c>
    </x:row>
    <x:row r="26">
      <x:c r="A26" s="71"/>
      <x:c r="B26" s="71"/>
      <x:c r="C26" s="71"/>
      <x:c r="D26" s="101"/>
      <x:c r="E26" s="101"/>
      <x:c r="F26" s="101"/>
      <x:c r="G26" s="106"/>
      <x:c r="H26" s="107"/>
      <x:c r="I26" s="107"/>
      <x:c r="J26" s="107"/>
      <x:c r="K26" s="107"/>
    </x:row>
    <x:row r="27">
      <x:c r="A27" s="71"/>
      <x:c r="B27" s="71"/>
      <x:c r="C27" s="71" t="str">
        <x:v>Opening intangibles</x:v>
      </x:c>
      <x:c r="D27" s="101"/>
      <x:c r="E27" s="101"/>
      <x:c r="F27" s="101"/>
      <x:c r="G27" s="106" t="n">
        <x:f>F30</x:f>
        <x:v>13375</x:v>
      </x:c>
      <x:c r="H27" s="107" t="n">
        <x:f>G30</x:f>
        <x:v>13245.18985</x:v>
      </x:c>
      <x:c r="I27" s="107" t="n">
        <x:f>H30</x:f>
        <x:v>13119.57149355</x:v>
      </x:c>
      <x:c r="J27" s="107" t="n">
        <x:f>I30</x:f>
        <x:v>12999.00151378965</x:v>
      </x:c>
      <x:c r="K27" s="107" t="n">
        <x:f>J30</x:f>
        <x:v>12884.014477148126</x:v>
      </x:c>
    </x:row>
    <x:row r="28">
      <x:c r="A28" s="71"/>
      <x:c r="B28" s="71"/>
      <x:c r="C28" s="71" t="str">
        <x:v>Intangible additions</x:v>
      </x:c>
      <x:c r="D28" s="101"/>
      <x:c r="E28" s="101"/>
      <x:c r="F28" s="101"/>
      <x:c r="G28" s="106" t="n">
        <x:f>G9*'Assumptions'!G41</x:f>
        <x:v>97.56485</x:v>
      </x:c>
      <x:c r="H28" s="107" t="n">
        <x:f>H9*'Assumptions'!H41</x:f>
        <x:v>99.54987100000001</x:v>
      </x:c>
      <x:c r="I28" s="107" t="n">
        <x:f>I9*'Assumptions'!I41</x:f>
        <x:v>102.46273563000001</x:v>
      </x:c>
      <x:c r="J28" s="107" t="n">
        <x:f>J9*'Assumptions'!J41</x:f>
        <x:v>105.99598909290002</x:v>
      </x:c>
      <x:c r="K28" s="107" t="n">
        <x:f>K9*'Assumptions'!K41</x:f>
        <x:v>109.65646973264703</x:v>
      </x:c>
    </x:row>
    <x:row r="29">
      <x:c r="A29" s="71"/>
      <x:c r="B29" s="71"/>
      <x:c r="C29" s="71" t="str">
        <x:v>Amortisation</x:v>
      </x:c>
      <x:c r="D29" s="101"/>
      <x:c r="E29" s="101"/>
      <x:c r="F29" s="101"/>
      <x:c r="G29" s="106" t="n">
        <x:f>G27*'Assumptions'!G43</x:f>
        <x:v>227.37500000000003</x:v>
      </x:c>
      <x:c r="H29" s="107" t="n">
        <x:f>H27*'Assumptions'!H43</x:f>
        <x:v>225.16822745000002</x:v>
      </x:c>
      <x:c r="I29" s="107" t="n">
        <x:f>I27*'Assumptions'!I43</x:f>
        <x:v>223.03271539035</x:v>
      </x:c>
      <x:c r="J29" s="107" t="n">
        <x:f>J27*'Assumptions'!J43</x:f>
        <x:v>220.98302573442407</x:v>
      </x:c>
      <x:c r="K29" s="107" t="n">
        <x:f>K27*'Assumptions'!K43</x:f>
        <x:v>219.02824611151817</x:v>
      </x:c>
    </x:row>
    <x:row r="30">
      <x:c r="A30" s="71"/>
      <x:c r="B30" s="71"/>
      <x:c r="C30" s="102" t="str">
        <x:v>Closing intangibles</x:v>
      </x:c>
      <x:c r="D30" s="103" t="n">
        <x:f>'Historicals'!D30</x:f>
        <x:v>14814</x:v>
      </x:c>
      <x:c r="E30" s="103" t="n">
        <x:f>'Historicals'!E30</x:f>
        <x:v>14776</x:v>
      </x:c>
      <x:c r="F30" s="103" t="n">
        <x:f>'Historicals'!F30</x:f>
        <x:v>13375</x:v>
      </x:c>
      <x:c r="G30" s="109" t="n">
        <x:f>G27+G28-G29</x:f>
        <x:v>13245.18985</x:v>
      </x:c>
      <x:c r="H30" s="110" t="n">
        <x:f>H27+H28-H29</x:f>
        <x:v>13119.57149355</x:v>
      </x:c>
      <x:c r="I30" s="110" t="n">
        <x:f>I27+I28-I29</x:f>
        <x:v>12999.00151378965</x:v>
      </x:c>
      <x:c r="J30" s="110" t="n">
        <x:f>J27+J28-J29</x:f>
        <x:v>12884.014477148126</x:v>
      </x:c>
      <x:c r="K30" s="110" t="n">
        <x:f>K27+K28-K29</x:f>
        <x:v>12774.642700769255</x:v>
      </x:c>
    </x:row>
    <x:row r="31">
      <x:c r="A31" s="71"/>
      <x:c r="B31" s="71"/>
      <x:c r="C31" s="71" t="str">
        <x:v>Depreciation linked to operating model</x:v>
      </x:c>
      <x:c r="D31" s="101"/>
      <x:c r="E31" s="101"/>
      <x:c r="F31" s="101"/>
      <x:c r="G31" s="106" t="n">
        <x:f>G24</x:f>
        <x:v>584.74</x:v>
      </x:c>
      <x:c r="H31" s="107" t="n">
        <x:f>H24</x:f>
        <x:v>622.832483</x:v>
      </x:c>
      <x:c r="I31" s="107" t="n">
        <x:f>I24</x:f>
        <x:v>659.9972709850001</x:v>
      </x:c>
      <x:c r="J31" s="107" t="n">
        <x:f>J24</x:f>
        <x:v>697.018382162375</x:v>
      </x:c>
      <x:c r="K31" s="107" t="n">
        <x:f>K24</x:f>
        <x:v>734.3890588142825</x:v>
      </x:c>
    </x:row>
    <x:row r="32">
      <x:c r="A32" s="71"/>
      <x:c r="B32" s="71"/>
      <x:c r="C32" s="71"/>
      <x:c r="D32" s="101"/>
      <x:c r="E32" s="101"/>
      <x:c r="F32" s="101"/>
      <x:c r="G32" s="106"/>
      <x:c r="H32" s="107"/>
      <x:c r="I32" s="107"/>
      <x:c r="J32" s="107"/>
      <x:c r="K32" s="107"/>
    </x:row>
    <x:row r="33">
      <x:c r="A33" s="71"/>
      <x:c r="B33" s="71"/>
      <x:c r="C33" s="71"/>
      <x:c r="D33" s="101"/>
      <x:c r="E33" s="101"/>
      <x:c r="F33" s="101"/>
      <x:c r="G33" s="106"/>
      <x:c r="H33" s="107"/>
      <x:c r="I33" s="107"/>
      <x:c r="J33" s="107"/>
      <x:c r="K33" s="107"/>
    </x:row>
    <x:row r="34">
      <x:c r="A34" s="71"/>
      <x:c r="B34" s="71"/>
      <x:c r="C34" s="71"/>
      <x:c r="D34" s="101"/>
      <x:c r="E34" s="101"/>
      <x:c r="F34" s="101"/>
      <x:c r="G34" s="106"/>
      <x:c r="H34" s="107"/>
      <x:c r="I34" s="107"/>
      <x:c r="J34" s="107"/>
      <x:c r="K34" s="107"/>
    </x:row>
    <x:row r="35">
      <x:c r="A35" s="71"/>
      <x:c r="B35" s="71"/>
      <x:c r="C35" s="71"/>
      <x:c r="D35" s="101"/>
      <x:c r="E35" s="101"/>
      <x:c r="F35" s="101"/>
      <x:c r="G35" s="106"/>
      <x:c r="H35" s="107"/>
      <x:c r="I35" s="107"/>
      <x:c r="J35" s="107"/>
      <x:c r="K35" s="107"/>
    </x:row>
    <x:row r="36">
      <x:c r="A36" s="71"/>
      <x:c r="B36" s="71"/>
      <x:c r="C36" s="71"/>
      <x:c r="D36" s="101"/>
      <x:c r="E36" s="101"/>
      <x:c r="F36" s="101"/>
      <x:c r="G36" s="106"/>
      <x:c r="H36" s="107"/>
      <x:c r="I36" s="107"/>
      <x:c r="J36" s="107"/>
      <x:c r="K36" s="107"/>
    </x:row>
    <x:row r="37">
      <x:c r="A37" s="71"/>
      <x:c r="B37" s="71"/>
      <x:c r="C37" s="71"/>
      <x:c r="D37" s="101"/>
      <x:c r="E37" s="101"/>
      <x:c r="F37" s="101"/>
      <x:c r="G37" s="106"/>
      <x:c r="H37" s="107"/>
      <x:c r="I37" s="107"/>
      <x:c r="J37" s="107"/>
      <x:c r="K37" s="107"/>
    </x:row>
    <x:row r="38">
      <x:c r="A38" s="71"/>
      <x:c r="B38" s="71"/>
      <x:c r="C38" s="71" t="str">
        <x:v>Amortisation linked to operating model</x:v>
      </x:c>
      <x:c r="D38" s="101"/>
      <x:c r="E38" s="101"/>
      <x:c r="F38" s="101"/>
      <x:c r="G38" s="106" t="n">
        <x:f>G29</x:f>
        <x:v>227.37500000000003</x:v>
      </x:c>
      <x:c r="H38" s="107" t="n">
        <x:f>H29</x:f>
        <x:v>225.16822745000002</x:v>
      </x:c>
      <x:c r="I38" s="107" t="n">
        <x:f>I29</x:f>
        <x:v>223.03271539035</x:v>
      </x:c>
      <x:c r="J38" s="107" t="n">
        <x:f>J29</x:f>
        <x:v>220.98302573442407</x:v>
      </x:c>
      <x:c r="K38" s="107" t="n">
        <x:f>K29</x:f>
        <x:v>219.02824611151817</x:v>
      </x:c>
    </x:row>
    <x:row r="39">
      <x:c r="A39" s="71"/>
      <x:c r="B39" s="71"/>
      <x:c r="C39" s="71"/>
      <x:c r="D39" s="71"/>
      <x:c r="E39" s="71"/>
      <x:c r="F39" s="71"/>
      <x:c r="G39" s="113"/>
      <x:c r="H39" s="114"/>
      <x:c r="I39" s="114"/>
      <x:c r="J39" s="114"/>
      <x:c r="K39" s="114"/>
    </x:row>
    <x:row r="40">
      <x:c r="A40" s="71"/>
      <x:c r="B40" s="71"/>
      <x:c r="C40" s="71"/>
      <x:c r="D40" s="71"/>
      <x:c r="E40" s="71"/>
      <x:c r="F40" s="71"/>
      <x:c r="G40" s="113"/>
      <x:c r="H40" s="114"/>
      <x:c r="I40" s="114"/>
      <x:c r="J40" s="114"/>
      <x:c r="K40" s="114"/>
    </x:row>
    <x:row r="41">
      <x:c r="A41" s="71"/>
      <x:c r="B41" s="71"/>
      <x:c r="C41" s="71"/>
      <x:c r="D41" s="71"/>
      <x:c r="E41" s="71"/>
      <x:c r="F41" s="71"/>
      <x:c r="G41" s="113"/>
      <x:c r="H41" s="114"/>
      <x:c r="I41" s="114"/>
      <x:c r="J41" s="114"/>
      <x:c r="K41" s="114"/>
    </x:row>
    <x:row r="42">
      <x:c r="A42" s="71"/>
      <x:c r="B42" s="71"/>
      <x:c r="C42" s="75" t="str">
        <x:v>Debt and interest</x:v>
      </x:c>
      <x:c r="D42" s="75"/>
      <x:c r="E42" s="75"/>
      <x:c r="F42" s="75"/>
      <x:c r="G42" s="115"/>
      <x:c r="H42" s="116"/>
      <x:c r="I42" s="116"/>
      <x:c r="J42" s="116"/>
      <x:c r="K42" s="116"/>
    </x:row>
    <x:row r="43">
      <x:c r="A43" s="71"/>
      <x:c r="B43" s="71"/>
      <x:c r="C43" s="71" t="str">
        <x:v>Opening debt</x:v>
      </x:c>
      <x:c r="D43" s="101"/>
      <x:c r="E43" s="101"/>
      <x:c r="F43" s="101"/>
      <x:c r="G43" s="106" t="n">
        <x:f>F46</x:f>
        <x:v>21511</x:v>
      </x:c>
      <x:c r="H43" s="107" t="n">
        <x:f>G46</x:f>
        <x:v>20435.45</x:v>
      </x:c>
      <x:c r="I43" s="107" t="n">
        <x:f>H46</x:f>
        <x:v>19784.23195575625</x:v>
      </x:c>
      <x:c r="J43" s="107" t="n">
        <x:f>I46</x:f>
        <x:v>19210.88619325179</x:v>
      </x:c>
      <x:c r="K43" s="107" t="n">
        <x:f>J46</x:f>
        <x:v>18627.128488612278</x:v>
      </x:c>
    </x:row>
    <x:row r="44">
      <x:c r="A44" s="71"/>
      <x:c r="B44" s="71"/>
      <x:c r="C44" s="71" t="str">
        <x:v>Mandatory repayment</x:v>
      </x:c>
      <x:c r="D44" s="101"/>
      <x:c r="E44" s="101"/>
      <x:c r="F44" s="101"/>
      <x:c r="G44" s="106" t="n">
        <x:f>G43*'Assumptions'!G44</x:f>
        <x:v>1075.55</x:v>
      </x:c>
      <x:c r="H44" s="107" t="n">
        <x:f>H43*'Assumptions'!H44</x:f>
        <x:v>1021.7725</x:v>
      </x:c>
      <x:c r="I44" s="107" t="n">
        <x:f>I43*'Assumptions'!I44</x:f>
        <x:v>989.2115977878126</x:v>
      </x:c>
      <x:c r="J44" s="107" t="n">
        <x:f>J43*'Assumptions'!J44</x:f>
        <x:v>960.5443096625895</x:v>
      </x:c>
      <x:c r="K44" s="107" t="n">
        <x:f>K43*'Assumptions'!K44</x:f>
        <x:v>931.356424430614</x:v>
      </x:c>
    </x:row>
    <x:row r="45">
      <x:c r="A45" s="71"/>
      <x:c r="B45" s="71"/>
      <x:c r="C45" s="71" t="str">
        <x:v>New borrowing</x:v>
      </x:c>
      <x:c r="D45" s="101"/>
      <x:c r="E45" s="101"/>
      <x:c r="F45" s="101"/>
      <x:c r="G45" s="106" t="n">
        <x:f>MAX(0,'Assumptions'!G48-'Three Statements'!G77)</x:f>
        <x:v>0</x:v>
      </x:c>
      <x:c r="H45" s="107" t="n">
        <x:f>MAX(0,'Assumptions'!H48-'Three Statements'!H77)</x:f>
        <x:v>370.5544557562487</x:v>
      </x:c>
      <x:c r="I45" s="107" t="n">
        <x:f>MAX(0,'Assumptions'!I48-'Three Statements'!I77)</x:f>
        <x:v>415.8658352833519</x:v>
      </x:c>
      <x:c r="J45" s="107" t="n">
        <x:f>MAX(0,'Assumptions'!J48-'Three Statements'!J77)</x:f>
        <x:v>376.7866050230766</x:v>
      </x:c>
      <x:c r="K45" s="107" t="n">
        <x:f>MAX(0,'Assumptions'!K48-'Three Statements'!K77)</x:f>
        <x:v>416.6850157877133</x:v>
      </x:c>
    </x:row>
    <x:row r="46">
      <x:c r="A46" s="71"/>
      <x:c r="B46" s="71"/>
      <x:c r="C46" s="102" t="str">
        <x:v>Closing debt</x:v>
      </x:c>
      <x:c r="D46" s="103" t="n">
        <x:f>'Historicals'!D38</x:f>
        <x:v>21501</x:v>
      </x:c>
      <x:c r="E46" s="103" t="n">
        <x:f>'Historicals'!E38</x:f>
        <x:v>23748</x:v>
      </x:c>
      <x:c r="F46" s="103" t="n">
        <x:f>'Historicals'!F38</x:f>
        <x:v>21511</x:v>
      </x:c>
      <x:c r="G46" s="109" t="n">
        <x:f>MAX(0,G43-G44+G45)</x:f>
        <x:v>20435.45</x:v>
      </x:c>
      <x:c r="H46" s="110" t="n">
        <x:f>MAX(0,H43-H44+H45)</x:f>
        <x:v>19784.23195575625</x:v>
      </x:c>
      <x:c r="I46" s="110" t="n">
        <x:f>MAX(0,I43-I44+I45)</x:f>
        <x:v>19210.88619325179</x:v>
      </x:c>
      <x:c r="J46" s="110" t="n">
        <x:f>MAX(0,J43-J44+J45)</x:f>
        <x:v>18627.128488612278</x:v>
      </x:c>
      <x:c r="K46" s="110" t="n">
        <x:f>MAX(0,K43-K44+K45)</x:f>
        <x:v>18112.457079969376</x:v>
      </x:c>
    </x:row>
    <x:row r="47">
      <x:c r="A47" s="71"/>
      <x:c r="B47" s="71"/>
      <x:c r="C47" s="71" t="str">
        <x:v>Average debt</x:v>
      </x:c>
      <x:c r="D47" s="101"/>
      <x:c r="E47" s="101"/>
      <x:c r="F47" s="101"/>
      <x:c r="G47" s="106" t="n">
        <x:f>(G43+G46)/2</x:f>
        <x:v>20973.225</x:v>
      </x:c>
      <x:c r="H47" s="107" t="n">
        <x:f>(H43+H46)/2</x:f>
        <x:v>20109.840977878128</x:v>
      </x:c>
      <x:c r="I47" s="107" t="n">
        <x:f>(I43+I46)/2</x:f>
        <x:v>19497.55907450402</x:v>
      </x:c>
      <x:c r="J47" s="107" t="n">
        <x:f>(J43+J46)/2</x:f>
        <x:v>18919.007340932032</x:v>
      </x:c>
      <x:c r="K47" s="107" t="n">
        <x:f>(K43+K46)/2</x:f>
        <x:v>18369.792784290825</x:v>
      </x:c>
    </x:row>
    <x:row r="48">
      <x:c r="A48" s="71"/>
      <x:c r="B48" s="71"/>
      <x:c r="C48" s="102" t="str">
        <x:v>Net finance charges</x:v>
      </x:c>
      <x:c r="D48" s="103" t="n">
        <x:f>'Historicals'!D17</x:f>
        <x:v>885</x:v>
      </x:c>
      <x:c r="E48" s="103" t="n">
        <x:f>'Historicals'!E17</x:f>
        <x:v>771</x:v>
      </x:c>
      <x:c r="F48" s="103" t="n">
        <x:f>'Historicals'!F17</x:f>
        <x:v>816</x:v>
      </x:c>
      <x:c r="G48" s="109" t="n">
        <x:f>G43*'Assumptions'!G45</x:f>
        <x:v>967.995</x:v>
      </x:c>
      <x:c r="H48" s="110" t="n">
        <x:f>H43*'Assumptions'!H45</x:f>
        <x:v>919.59525</x:v>
      </x:c>
      <x:c r="I48" s="110" t="n">
        <x:f>I43*'Assumptions'!I45</x:f>
        <x:v>890.2904380090313</x:v>
      </x:c>
      <x:c r="J48" s="110" t="n">
        <x:f>J43*'Assumptions'!J45</x:f>
        <x:v>864.4898786963305</x:v>
      </x:c>
      <x:c r="K48" s="110" t="n">
        <x:f>K43*'Assumptions'!K45</x:f>
        <x:v>838.2207819875524</x:v>
      </x:c>
    </x:row>
    <x:row r="49">
      <x:c r="A49" s="71"/>
      <x:c r="B49" s="71"/>
      <x:c r="C49" s="71"/>
      <x:c r="D49" s="71"/>
      <x:c r="E49" s="71"/>
      <x:c r="F49" s="71"/>
      <x:c r="G49" s="113"/>
      <x:c r="H49" s="114"/>
      <x:c r="I49" s="114"/>
      <x:c r="J49" s="114"/>
      <x:c r="K49" s="114"/>
    </x:row>
    <x:row r="50">
      <x:c r="A50" s="71"/>
      <x:c r="B50" s="71"/>
      <x:c r="C50" s="71"/>
      <x:c r="D50" s="71"/>
      <x:c r="E50" s="71"/>
      <x:c r="F50" s="71"/>
      <x:c r="G50" s="113"/>
      <x:c r="H50" s="114"/>
      <x:c r="I50" s="114"/>
      <x:c r="J50" s="114"/>
      <x:c r="K50" s="114"/>
    </x:row>
    <x:row r="51">
      <x:c r="A51" s="71"/>
      <x:c r="B51" s="71"/>
      <x:c r="C51" s="71"/>
      <x:c r="D51" s="71"/>
      <x:c r="E51" s="71"/>
      <x:c r="F51" s="71"/>
      <x:c r="G51" s="113"/>
      <x:c r="H51" s="114"/>
      <x:c r="I51" s="114"/>
      <x:c r="J51" s="114"/>
      <x:c r="K51" s="114"/>
    </x:row>
    <x:row r="52">
      <x:c r="A52" s="71"/>
      <x:c r="B52" s="71"/>
      <x:c r="C52" s="75" t="str">
        <x:v>Equity</x:v>
      </x:c>
      <x:c r="D52" s="75"/>
      <x:c r="E52" s="75"/>
      <x:c r="F52" s="75"/>
      <x:c r="G52" s="115"/>
      <x:c r="H52" s="116"/>
      <x:c r="I52" s="116"/>
      <x:c r="J52" s="116"/>
      <x:c r="K52" s="116"/>
    </x:row>
    <x:row r="53">
      <x:c r="A53" s="71"/>
      <x:c r="B53" s="71"/>
      <x:c r="C53" s="71" t="str">
        <x:v>Opening retained earnings</x:v>
      </x:c>
      <x:c r="D53" s="101"/>
      <x:c r="E53" s="101"/>
      <x:c r="F53" s="101"/>
      <x:c r="G53" s="106" t="n">
        <x:f>F56</x:f>
        <x:v>8291</x:v>
      </x:c>
      <x:c r="H53" s="107" t="n">
        <x:f>G56</x:f>
        <x:v>8907.017253275</x:v>
      </x:c>
      <x:c r="I53" s="107" t="n">
        <x:f>H56</x:f>
        <x:v>9683.849075954375</x:v>
      </x:c>
      <x:c r="J53" s="107" t="n">
        <x:f>I56</x:f>
        <x:v>10567.249964748977</x:v>
      </x:c>
      <x:c r="K53" s="107" t="n">
        <x:f>J56</x:f>
        <x:v>11526.303909134342</x:v>
      </x:c>
    </x:row>
    <x:row r="54">
      <x:c r="A54" s="71"/>
      <x:c r="B54" s="71"/>
      <x:c r="C54" s="71" t="str">
        <x:v>Parent net income</x:v>
      </x:c>
      <x:c r="D54" s="101"/>
      <x:c r="E54" s="101"/>
      <x:c r="F54" s="101"/>
      <x:c r="G54" s="106" t="n">
        <x:f>'Operating Model'!G26</x:f>
        <x:v>2053.3908442499996</x:v>
      </x:c>
      <x:c r="H54" s="107" t="n">
        <x:f>'Operating Model'!H26</x:f>
        <x:v>2589.4394089312505</x:v>
      </x:c>
      <x:c r="I54" s="107" t="n">
        <x:f>'Operating Model'!I26</x:f>
        <x:v>2944.6696293153423</x:v>
      </x:c>
      <x:c r="J54" s="107" t="n">
        <x:f>'Operating Model'!J26</x:f>
        <x:v>3196.846481284546</x:v>
      </x:c>
      <x:c r="K54" s="107" t="n">
        <x:f>'Operating Model'!K26</x:f>
        <x:v>3389.5885623335053</x:v>
      </x:c>
    </x:row>
    <x:row r="55">
      <x:c r="A55" s="71"/>
      <x:c r="B55" s="71"/>
      <x:c r="C55" s="71" t="str">
        <x:v>Parent dividends</x:v>
      </x:c>
      <x:c r="D55" s="101"/>
      <x:c r="E55" s="101"/>
      <x:c r="F55" s="101"/>
      <x:c r="G55" s="106" t="n">
        <x:f>G54*'Assumptions'!G46</x:f>
        <x:v>1437.3735909749996</x:v>
      </x:c>
      <x:c r="H55" s="107" t="n">
        <x:f>H54*'Assumptions'!H46</x:f>
        <x:v>1812.607586251875</x:v>
      </x:c>
      <x:c r="I55" s="107" t="n">
        <x:f>I54*'Assumptions'!I46</x:f>
        <x:v>2061.2687405207394</x:v>
      </x:c>
      <x:c r="J55" s="107" t="n">
        <x:f>J54*'Assumptions'!J46</x:f>
        <x:v>2237.792536899182</x:v>
      </x:c>
      <x:c r="K55" s="107" t="n">
        <x:f>K54*'Assumptions'!K46</x:f>
        <x:v>2372.7119936334534</x:v>
      </x:c>
    </x:row>
    <x:row r="56">
      <x:c r="A56" s="71"/>
      <x:c r="B56" s="71"/>
      <x:c r="C56" s="102" t="str">
        <x:v>Closing retained earnings</x:v>
      </x:c>
      <x:c r="D56" s="103" t="n">
        <x:f>'Historicals'!D45</x:f>
        <x:v>7533</x:v>
      </x:c>
      <x:c r="E56" s="103" t="n">
        <x:f>'Historicals'!E45</x:f>
        <x:v>8046</x:v>
      </x:c>
      <x:c r="F56" s="103" t="n">
        <x:f>'Historicals'!F45</x:f>
        <x:v>8291</x:v>
      </x:c>
      <x:c r="G56" s="109" t="n">
        <x:f>G53+G54-G55</x:f>
        <x:v>8907.017253275</x:v>
      </x:c>
      <x:c r="H56" s="110" t="n">
        <x:f>H53+H54-H55</x:f>
        <x:v>9683.849075954375</x:v>
      </x:c>
      <x:c r="I56" s="110" t="n">
        <x:f>I53+I54-I55</x:f>
        <x:v>10567.249964748977</x:v>
      </x:c>
      <x:c r="J56" s="110" t="n">
        <x:f>J53+J54-J55</x:f>
        <x:v>11526.303909134342</x:v>
      </x:c>
      <x:c r="K56" s="110" t="n">
        <x:f>K53+K54-K55</x:f>
        <x:v>12543.180477834394</x:v>
      </x:c>
    </x:row>
    <x:row r="57">
      <x:c r="A57" s="71"/>
      <x:c r="B57" s="71"/>
      <x:c r="C57" s="71"/>
      <x:c r="D57" s="101"/>
      <x:c r="E57" s="101"/>
      <x:c r="F57" s="101"/>
      <x:c r="G57" s="106"/>
      <x:c r="H57" s="107"/>
      <x:c r="I57" s="107"/>
      <x:c r="J57" s="107"/>
      <x:c r="K57" s="107"/>
    </x:row>
    <x:row r="58">
      <x:c r="A58" s="71"/>
      <x:c r="B58" s="71"/>
      <x:c r="C58" s="71" t="str">
        <x:v>Opening NCI</x:v>
      </x:c>
      <x:c r="D58" s="101"/>
      <x:c r="E58" s="101"/>
      <x:c r="F58" s="101"/>
      <x:c r="G58" s="106" t="n">
        <x:f>F61</x:f>
        <x:v>2083</x:v>
      </x:c>
      <x:c r="H58" s="107" t="n">
        <x:f>G61</x:f>
        <x:v>2151.446361475</x:v>
      </x:c>
      <x:c r="I58" s="107" t="n">
        <x:f>H61</x:f>
        <x:v>2237.7610084393746</x:v>
      </x:c>
      <x:c r="J58" s="107" t="n">
        <x:f>I61</x:f>
        <x:v>2335.916662749886</x:v>
      </x:c>
      <x:c r="K58" s="107" t="n">
        <x:f>J61</x:f>
        <x:v>2442.4782121260378</x:v>
      </x:c>
    </x:row>
    <x:row r="59">
      <x:c r="A59" s="71"/>
      <x:c r="B59" s="71"/>
      <x:c r="C59" s="71" t="str">
        <x:v>NCI profit</x:v>
      </x:c>
      <x:c r="D59" s="101"/>
      <x:c r="E59" s="101"/>
      <x:c r="F59" s="101"/>
      <x:c r="G59" s="106" t="n">
        <x:f>'Operating Model'!G25</x:f>
        <x:v>228.15453824999997</x:v>
      </x:c>
      <x:c r="H59" s="107" t="n">
        <x:f>'Operating Model'!H25</x:f>
        <x:v>287.71548988125005</x:v>
      </x:c>
      <x:c r="I59" s="107" t="n">
        <x:f>'Operating Model'!I25</x:f>
        <x:v>327.1855143683714</x:v>
      </x:c>
      <x:c r="J59" s="107" t="n">
        <x:f>'Operating Model'!J25</x:f>
        <x:v>355.2051645871718</x:v>
      </x:c>
      <x:c r="K59" s="107" t="n">
        <x:f>'Operating Model'!K25</x:f>
        <x:v>376.62095137038955</x:v>
      </x:c>
    </x:row>
    <x:row r="60">
      <x:c r="A60" s="71"/>
      <x:c r="B60" s="71"/>
      <x:c r="C60" s="71" t="str">
        <x:v>NCI dividends</x:v>
      </x:c>
      <x:c r="D60" s="101"/>
      <x:c r="E60" s="101"/>
      <x:c r="F60" s="101"/>
      <x:c r="G60" s="106" t="n">
        <x:f>G59*'Assumptions'!G47</x:f>
        <x:v>159.70817677499997</x:v>
      </x:c>
      <x:c r="H60" s="107" t="n">
        <x:f>H59*'Assumptions'!H47</x:f>
        <x:v>201.40084291687504</x:v>
      </x:c>
      <x:c r="I60" s="107" t="n">
        <x:f>I59*'Assumptions'!I47</x:f>
        <x:v>229.02986005785996</x:v>
      </x:c>
      <x:c r="J60" s="107" t="n">
        <x:f>J59*'Assumptions'!J47</x:f>
        <x:v>248.64361521102023</x:v>
      </x:c>
      <x:c r="K60" s="107" t="n">
        <x:f>K59*'Assumptions'!K47</x:f>
        <x:v>263.6346659592727</x:v>
      </x:c>
    </x:row>
    <x:row r="61">
      <x:c r="A61" s="71"/>
      <x:c r="B61" s="71"/>
      <x:c r="C61" s="102" t="str">
        <x:v>Closing NCI</x:v>
      </x:c>
      <x:c r="D61" s="103" t="n">
        <x:f>'Historicals'!D46</x:f>
        <x:v>2038</x:v>
      </x:c>
      <x:c r="E61" s="103" t="n">
        <x:f>'Historicals'!E46</x:f>
        <x:v>2088</x:v>
      </x:c>
      <x:c r="F61" s="103" t="n">
        <x:f>'Historicals'!F46</x:f>
        <x:v>2083</x:v>
      </x:c>
      <x:c r="G61" s="109" t="n">
        <x:f>G58+G59-G60</x:f>
        <x:v>2151.446361475</x:v>
      </x:c>
      <x:c r="H61" s="110" t="n">
        <x:f>H58+H59-H60</x:f>
        <x:v>2237.7610084393746</x:v>
      </x:c>
      <x:c r="I61" s="110" t="n">
        <x:f>I58+I59-I60</x:f>
        <x:v>2335.916662749886</x:v>
      </x:c>
      <x:c r="J61" s="110" t="n">
        <x:f>J58+J59-J60</x:f>
        <x:v>2442.4782121260378</x:v>
      </x:c>
      <x:c r="K61" s="110" t="n">
        <x:f>K58+K59-K60</x:f>
        <x:v>2555.464497537155</x:v>
      </x:c>
    </x:row>
    <x:row r="62">
      <x:c r="A62" s="71"/>
      <x:c r="B62" s="71"/>
      <x:c r="C62" s="71"/>
      <x:c r="D62" s="71"/>
      <x:c r="E62" s="71"/>
      <x:c r="F62" s="71"/>
      <x:c r="G62" s="71"/>
      <x:c r="H62" s="71"/>
      <x:c r="I62" s="71"/>
      <x:c r="J62" s="71"/>
      <x:c r="K62" s="71"/>
    </x:row>
    <x:row r="63">
      <x:c r="A63" s="71"/>
      <x:c r="B63" s="71"/>
      <x:c r="C63" s="71"/>
      <x:c r="D63" s="71"/>
      <x:c r="E63" s="71"/>
      <x:c r="F63" s="71"/>
      <x:c r="G63" s="71"/>
      <x:c r="H63" s="71"/>
      <x:c r="I63" s="71"/>
      <x:c r="J63" s="71"/>
      <x:c r="K63" s="71"/>
    </x:row>
    <x:row r="64">
      <x:c r="A64" s="71"/>
      <x:c r="B64" s="71"/>
      <x:c r="C64" s="71"/>
      <x:c r="D64" s="71"/>
      <x:c r="E64" s="71"/>
      <x:c r="F64" s="71"/>
      <x:c r="G64" s="71"/>
      <x:c r="H64" s="71"/>
      <x:c r="I64" s="71"/>
      <x:c r="J64" s="71"/>
      <x:c r="K64" s="71"/>
    </x:row>
    <x:row r="65">
      <x:c r="A65" s="71"/>
      <x:c r="B65" s="71"/>
      <x:c r="C65" s="71"/>
      <x:c r="D65" s="71"/>
      <x:c r="E65" s="71"/>
      <x:c r="F65" s="71"/>
      <x:c r="G65" s="71"/>
      <x:c r="H65" s="71"/>
      <x:c r="I65" s="71"/>
      <x:c r="J65" s="71"/>
      <x:c r="K65" s="7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71"/>
      <x:c r="B1" s="71"/>
      <x:c r="C1" s="79"/>
      <x:c r="D1" s="71"/>
      <x:c r="E1" s="71"/>
      <x:c r="F1" s="71"/>
      <x:c r="G1" s="71"/>
      <x:c r="H1" s="71"/>
      <x:c r="I1" s="71"/>
      <x:c r="J1" s="71"/>
      <x:c r="K1" s="71"/>
    </x:row>
    <x:row r="2">
      <x:c r="A2" s="71"/>
      <x:c r="B2" s="71"/>
      <x:c r="C2" s="72" t="str">
        <x:v>Integrated three statements</x:v>
      </x:c>
      <x:c r="D2" s="71"/>
      <x:c r="E2" s="71"/>
      <x:c r="F2" s="71"/>
      <x:c r="G2" s="71"/>
      <x:c r="H2" s="71"/>
      <x:c r="I2" s="71"/>
      <x:c r="J2" s="71"/>
      <x:c r="K2" s="71"/>
    </x:row>
    <x:row r="3">
      <x:c r="A3" s="71"/>
      <x:c r="B3" s="71"/>
      <x:c r="C3" s="73" t="str">
        <x:v>Historical and forecast financial statements | US$ millions except per-share data</x:v>
      </x:c>
      <x:c r="D3" s="73"/>
      <x:c r="E3" s="73"/>
      <x:c r="F3" s="73"/>
      <x:c r="G3" s="73"/>
      <x:c r="H3" s="73"/>
      <x:c r="I3" s="73"/>
      <x:c r="J3" s="73"/>
      <x:c r="K3" s="73"/>
    </x:row>
    <x:row r="4">
      <x:c r="A4" s="71"/>
      <x:c r="B4" s="71"/>
      <x:c r="C4" s="74"/>
      <x:c r="D4" s="74"/>
      <x:c r="E4" s="74"/>
      <x:c r="F4" s="74"/>
      <x:c r="G4" s="74"/>
      <x:c r="H4" s="74"/>
      <x:c r="I4" s="74"/>
      <x:c r="J4" s="74"/>
      <x:c r="K4" s="74"/>
    </x:row>
    <x:row r="5">
      <x:c r="A5" s="71"/>
      <x:c r="B5" s="71"/>
      <x:c r="C5" s="71"/>
      <x:c r="D5" s="71"/>
      <x:c r="E5" s="71"/>
      <x:c r="F5" s="71"/>
      <x:c r="G5" s="71"/>
      <x:c r="H5" s="71"/>
      <x:c r="I5" s="71"/>
      <x:c r="J5" s="71"/>
      <x:c r="K5" s="71"/>
    </x:row>
    <x:row r="6">
      <x:c r="A6" s="71"/>
      <x:c r="B6" s="71"/>
      <x:c r="C6" s="71"/>
      <x:c r="D6" s="80" t="str">
        <x:v>FY:24A</x:v>
      </x:c>
      <x:c r="E6" s="80" t="str">
        <x:v>FY:25A</x:v>
      </x:c>
      <x:c r="F6" s="80" t="str">
        <x:v>FY:26A</x:v>
      </x:c>
      <x:c r="G6" s="81" t="str">
        <x:v>FY:27E</x:v>
      </x:c>
      <x:c r="H6" s="82" t="str">
        <x:v>FY:28E</x:v>
      </x:c>
      <x:c r="I6" s="82" t="str">
        <x:v>FY:29E</x:v>
      </x:c>
      <x:c r="J6" s="82" t="str">
        <x:v>FY:30E</x:v>
      </x:c>
      <x:c r="K6" s="82" t="str">
        <x:v>FY:31E</x:v>
      </x:c>
    </x:row>
    <x:row r="7">
      <x:c r="A7" s="71"/>
      <x:c r="B7" s="71"/>
      <x:c r="C7" s="71"/>
      <x:c r="D7" s="71"/>
      <x:c r="E7" s="71"/>
      <x:c r="F7" s="71"/>
      <x:c r="G7" s="83"/>
      <x:c r="H7" s="71"/>
      <x:c r="I7" s="71"/>
      <x:c r="J7" s="71"/>
      <x:c r="K7" s="71"/>
    </x:row>
    <x:row r="8">
      <x:c r="A8" s="71"/>
      <x:c r="B8" s="71"/>
      <x:c r="C8" s="75" t="str">
        <x:v>Income statement</x:v>
      </x:c>
      <x:c r="D8" s="75"/>
      <x:c r="E8" s="75"/>
      <x:c r="F8" s="75"/>
      <x:c r="G8" s="85"/>
      <x:c r="H8" s="75"/>
      <x:c r="I8" s="75"/>
      <x:c r="J8" s="75"/>
      <x:c r="K8" s="75"/>
    </x:row>
    <x:row r="9">
      <x:c r="A9" s="71"/>
      <x:c r="B9" s="71"/>
      <x:c r="C9" s="71" t="str">
        <x:v>Net sales</x:v>
      </x:c>
      <x:c r="D9" s="101" t="n">
        <x:f>'Operating Model'!D9</x:f>
        <x:v>20269</x:v>
      </x:c>
      <x:c r="E9" s="101" t="n">
        <x:f>'Operating Model'!E9</x:f>
        <x:v>20245</x:v>
      </x:c>
      <x:c r="F9" s="101" t="n">
        <x:f>'Operating Model'!F9</x:f>
        <x:v>19643</x:v>
      </x:c>
      <x:c r="G9" s="106" t="n">
        <x:f>'Operating Model'!G9</x:f>
        <x:v>19512.97</x:v>
      </x:c>
      <x:c r="H9" s="107" t="n">
        <x:f>'Operating Model'!H9</x:f>
        <x:v>19909.9742</x:v>
      </x:c>
      <x:c r="I9" s="107" t="n">
        <x:f>'Operating Model'!I9</x:f>
        <x:v>20492.547126</x:v>
      </x:c>
      <x:c r="J9" s="107" t="n">
        <x:f>'Operating Model'!J9</x:f>
        <x:v>21199.197818580004</x:v>
      </x:c>
      <x:c r="K9" s="107" t="n">
        <x:f>'Operating Model'!K9</x:f>
        <x:v>21931.293946529404</x:v>
      </x:c>
    </x:row>
    <x:row r="10">
      <x:c r="A10" s="71"/>
      <x:c r="B10" s="71"/>
      <x:c r="C10" s="71" t="str">
        <x:v>Cost of sales</x:v>
      </x:c>
      <x:c r="D10" s="101" t="n">
        <x:f>'Operating Model'!D10</x:f>
        <x:v>8071</x:v>
      </x:c>
      <x:c r="E10" s="101" t="n">
        <x:f>'Operating Model'!E10</x:f>
        <x:v>8072</x:v>
      </x:c>
      <x:c r="F10" s="101" t="n">
        <x:f>'Operating Model'!F10</x:f>
        <x:v>7962</x:v>
      </x:c>
      <x:c r="G10" s="106" t="n">
        <x:f>'Operating Model'!G10</x:f>
        <x:v>7844.2139400000015</x:v>
      </x:c>
      <x:c r="H10" s="107" t="n">
        <x:f>'Operating Model'!H10</x:f>
        <x:v>7924.169731600001</x:v>
      </x:c>
      <x:c r="I10" s="107" t="n">
        <x:f>'Operating Model'!I10</x:f>
        <x:v>8094.556114770001</x:v>
      </x:c>
      <x:c r="J10" s="107" t="n">
        <x:f>'Operating Model'!J10</x:f>
        <x:v>8331.284742701942</x:v>
      </x:c>
      <x:c r="K10" s="107" t="n">
        <x:f>'Operating Model'!K10</x:f>
        <x:v>8575.135933092997</x:v>
      </x:c>
    </x:row>
    <x:row r="11">
      <x:c r="A11" s="71"/>
      <x:c r="B11" s="71"/>
      <x:c r="C11" s="102" t="str">
        <x:v>Gross profit</x:v>
      </x:c>
      <x:c r="D11" s="103" t="n">
        <x:f>'Operating Model'!D11</x:f>
        <x:v>12198</x:v>
      </x:c>
      <x:c r="E11" s="103" t="n">
        <x:f>'Operating Model'!E11</x:f>
        <x:v>12173</x:v>
      </x:c>
      <x:c r="F11" s="103" t="n">
        <x:f>'Operating Model'!F11</x:f>
        <x:v>11681</x:v>
      </x:c>
      <x:c r="G11" s="109" t="n">
        <x:f>'Operating Model'!G11</x:f>
        <x:v>11668.75606</x:v>
      </x:c>
      <x:c r="H11" s="110" t="n">
        <x:f>'Operating Model'!H11</x:f>
        <x:v>11985.8044684</x:v>
      </x:c>
      <x:c r="I11" s="110" t="n">
        <x:f>'Operating Model'!I11</x:f>
        <x:v>12397.99101123</x:v>
      </x:c>
      <x:c r="J11" s="110" t="n">
        <x:f>'Operating Model'!J11</x:f>
        <x:v>12867.913075878061</x:v>
      </x:c>
      <x:c r="K11" s="110" t="n">
        <x:f>'Operating Model'!K11</x:f>
        <x:v>13356.158013436407</x:v>
      </x:c>
    </x:row>
    <x:row r="12">
      <x:c r="A12" s="71"/>
      <x:c r="B12" s="71"/>
      <x:c r="C12" s="71" t="str">
        <x:v>Marketing</x:v>
      </x:c>
      <x:c r="D12" s="101" t="n">
        <x:f>'Operating Model'!D12</x:f>
        <x:v>3691</x:v>
      </x:c>
      <x:c r="E12" s="101" t="n">
        <x:f>'Operating Model'!E12</x:f>
        <x:v>3662</x:v>
      </x:c>
      <x:c r="F12" s="101" t="n">
        <x:f>'Operating Model'!F12</x:f>
        <x:v>3183</x:v>
      </x:c>
      <x:c r="G12" s="106" t="n">
        <x:f>'Operating Model'!G12</x:f>
        <x:v>3161.10114</x:v>
      </x:c>
      <x:c r="H12" s="107" t="n">
        <x:f>'Operating Model'!H12</x:f>
        <x:v>3225.4158204</x:v>
      </x:c>
      <x:c r="I12" s="107" t="n">
        <x:f>'Operating Model'!I12</x:f>
        <x:v>3319.792634412</x:v>
      </x:c>
      <x:c r="J12" s="107" t="n">
        <x:f>'Operating Model'!J12</x:f>
        <x:v>3434.270046609961</x:v>
      </x:c>
      <x:c r="K12" s="107" t="n">
        <x:f>'Operating Model'!K12</x:f>
        <x:v>3552.8696193377637</x:v>
      </x:c>
    </x:row>
    <x:row r="13">
      <x:c r="A13" s="71"/>
      <x:c r="B13" s="71"/>
      <x:c r="C13" s="71" t="str">
        <x:v>Other recurring operating expenses</x:v>
      </x:c>
      <x:c r="D13" s="101" t="n">
        <x:f>'Operating Model'!D13</x:f>
        <x:v>2506</x:v>
      </x:c>
      <x:c r="E13" s="101" t="n">
        <x:f>'Operating Model'!E13</x:f>
        <x:v>4176</x:v>
      </x:c>
      <x:c r="F13" s="101" t="n">
        <x:f>'Operating Model'!F13</x:f>
        <x:v>5342</x:v>
      </x:c>
      <x:c r="G13" s="106" t="n">
        <x:f>'Operating Model'!G13</x:f>
        <x:v>2985.48441</x:v>
      </x:c>
      <x:c r="H13" s="107" t="n">
        <x:f>'Operating Model'!H13</x:f>
        <x:v>2966.5861558</x:v>
      </x:c>
      <x:c r="I13" s="107" t="n">
        <x:f>'Operating Model'!I13</x:f>
        <x:v>3012.404427522</x:v>
      </x:c>
      <x:c r="J13" s="107" t="n">
        <x:f>'Operating Model'!J13</x:f>
        <x:v>3095.08288151268</x:v>
      </x:c>
      <x:c r="K13" s="107" t="n">
        <x:f>'Operating Model'!K13</x:f>
        <x:v>3180.0376222467635</x:v>
      </x:c>
    </x:row>
    <x:row r="14">
      <x:c r="A14" s="71"/>
      <x:c r="B14" s="71"/>
      <x:c r="C14" s="102" t="str">
        <x:v>Adjusted EBITDA</x:v>
      </x:c>
      <x:c r="D14" s="103" t="n">
        <x:f>'Operating Model'!D14</x:f>
        <x:v>6438</x:v>
      </x:c>
      <x:c r="E14" s="103" t="n">
        <x:f>'Operating Model'!E14</x:f>
        <x:v>7422</x:v>
      </x:c>
      <x:c r="F14" s="103" t="n">
        <x:f>'Operating Model'!F14</x:f>
        <x:v>8163</x:v>
      </x:c>
      <x:c r="G14" s="109" t="n">
        <x:f>'Operating Model'!G14</x:f>
        <x:v>5522.170509999999</x:v>
      </x:c>
      <x:c r="H14" s="110" t="n">
        <x:f>'Operating Model'!H14</x:f>
        <x:v>5793.8024922</x:v>
      </x:c>
      <x:c r="I14" s="110" t="n">
        <x:f>'Operating Model'!I14</x:f>
        <x:v>6065.7939492959995</x:v>
      </x:c>
      <x:c r="J14" s="110" t="n">
        <x:f>'Operating Model'!J14</x:f>
        <x:v>6338.560147755419</x:v>
      </x:c>
      <x:c r="K14" s="110" t="n">
        <x:f>'Operating Model'!K14</x:f>
        <x:v>6623.250771851879</x:v>
      </x:c>
    </x:row>
    <x:row r="15">
      <x:c r="A15" s="71"/>
      <x:c r="B15" s="71"/>
      <x:c r="C15" s="71" t="str">
        <x:v>Depreciation</x:v>
      </x:c>
      <x:c r="D15" s="101" t="n">
        <x:f>'Operating Model'!D15</x:f>
        <x:v>493</x:v>
      </x:c>
      <x:c r="E15" s="101" t="n">
        <x:f>'Operating Model'!E15</x:f>
        <x:v>1718</x:v>
      </x:c>
      <x:c r="F15" s="101" t="n">
        <x:f>'Operating Model'!F15</x:f>
        <x:v>2480</x:v>
      </x:c>
      <x:c r="G15" s="106" t="n">
        <x:f>'Operating Model'!G15</x:f>
        <x:v>584.74</x:v>
      </x:c>
      <x:c r="H15" s="107" t="n">
        <x:f>'Operating Model'!H15</x:f>
        <x:v>622.832483</x:v>
      </x:c>
      <x:c r="I15" s="107" t="n">
        <x:f>'Operating Model'!I15</x:f>
        <x:v>659.9972709850001</x:v>
      </x:c>
      <x:c r="J15" s="107" t="n">
        <x:f>'Operating Model'!J15</x:f>
        <x:v>697.018382162375</x:v>
      </x:c>
      <x:c r="K15" s="107" t="n">
        <x:f>'Operating Model'!K15</x:f>
        <x:v>734.3890588142825</x:v>
      </x:c>
    </x:row>
    <x:row r="16">
      <x:c r="A16" s="71"/>
      <x:c r="B16" s="71"/>
      <x:c r="C16" s="71" t="str">
        <x:v>Amortisation</x:v>
      </x:c>
      <x:c r="D16" s="101" t="n">
        <x:f>'Operating Model'!D16</x:f>
        <x:v>0</x:v>
      </x:c>
      <x:c r="E16" s="101" t="n">
        <x:f>'Operating Model'!E16</x:f>
        <x:v>0</x:v>
      </x:c>
      <x:c r="F16" s="101" t="n">
        <x:f>'Operating Model'!F16</x:f>
        <x:v>0</x:v>
      </x:c>
      <x:c r="G16" s="106" t="n">
        <x:f>'Operating Model'!G16</x:f>
        <x:v>227.37500000000003</x:v>
      </x:c>
      <x:c r="H16" s="107" t="n">
        <x:f>'Operating Model'!H16</x:f>
        <x:v>225.16822745000002</x:v>
      </x:c>
      <x:c r="I16" s="107" t="n">
        <x:f>'Operating Model'!I16</x:f>
        <x:v>223.03271539035</x:v>
      </x:c>
      <x:c r="J16" s="107" t="n">
        <x:f>'Operating Model'!J16</x:f>
        <x:v>220.98302573442407</x:v>
      </x:c>
      <x:c r="K16" s="107" t="n">
        <x:f>'Operating Model'!K16</x:f>
        <x:v>219.02824611151817</x:v>
      </x:c>
    </x:row>
    <x:row r="17">
      <x:c r="A17" s="71"/>
      <x:c r="B17" s="71"/>
      <x:c r="C17" s="102" t="str">
        <x:v>Operating profit before exceptional items</x:v>
      </x:c>
      <x:c r="D17" s="103" t="n">
        <x:f>'Operating Model'!D17</x:f>
        <x:v>5945</x:v>
      </x:c>
      <x:c r="E17" s="103" t="n">
        <x:f>'Operating Model'!E17</x:f>
        <x:v>5704</x:v>
      </x:c>
      <x:c r="F17" s="103" t="n">
        <x:f>'Operating Model'!F17</x:f>
        <x:v>5683</x:v>
      </x:c>
      <x:c r="G17" s="109" t="n">
        <x:f>'Operating Model'!G17</x:f>
        <x:v>4710.055509999999</x:v>
      </x:c>
      <x:c r="H17" s="110" t="n">
        <x:f>'Operating Model'!H17</x:f>
        <x:v>4945.80178175</x:v>
      </x:c>
      <x:c r="I17" s="110" t="n">
        <x:f>'Operating Model'!I17</x:f>
        <x:v>5182.76396292065</x:v>
      </x:c>
      <x:c r="J17" s="110" t="n">
        <x:f>'Operating Model'!J17</x:f>
        <x:v>5420.55873985862</x:v>
      </x:c>
      <x:c r="K17" s="110" t="n">
        <x:f>'Operating Model'!K17</x:f>
        <x:v>5669.8334669260785</x:v>
      </x:c>
    </x:row>
    <x:row r="18">
      <x:c r="A18" s="71"/>
      <x:c r="B18" s="71"/>
      <x:c r="C18" s="71" t="str">
        <x:v>Exceptional operating costs</x:v>
      </x:c>
      <x:c r="D18" s="101" t="n">
        <x:f>'Operating Model'!D18</x:f>
        <x:v>-56</x:v>
      </x:c>
      <x:c r="E18" s="101" t="n">
        <x:f>'Operating Model'!E18</x:f>
        <x:v>1369</x:v>
      </x:c>
      <x:c r="F18" s="101" t="n">
        <x:f>'Operating Model'!F18</x:f>
        <x:v>2527</x:v>
      </x:c>
      <x:c r="G18" s="106" t="n">
        <x:f>'Operating Model'!G18</x:f>
        <x:v>850</x:v>
      </x:c>
      <x:c r="H18" s="107" t="n">
        <x:f>'Operating Model'!H18</x:f>
        <x:v>350</x:v>
      </x:c>
      <x:c r="I18" s="107" t="n">
        <x:f>'Operating Model'!I18</x:f>
        <x:v>100</x:v>
      </x:c>
      <x:c r="J18" s="107" t="n">
        <x:f>'Operating Model'!J18</x:f>
        <x:v>0</x:v>
      </x:c>
      <x:c r="K18" s="107" t="n">
        <x:f>'Operating Model'!K18</x:f>
        <x:v>0</x:v>
      </x:c>
    </x:row>
    <x:row r="19">
      <x:c r="A19" s="71"/>
      <x:c r="B19" s="71"/>
      <x:c r="C19" s="102" t="str">
        <x:v>Reported operating profit</x:v>
      </x:c>
      <x:c r="D19" s="103" t="n">
        <x:f>'Operating Model'!D19</x:f>
        <x:v>6001</x:v>
      </x:c>
      <x:c r="E19" s="103" t="n">
        <x:f>'Operating Model'!E19</x:f>
        <x:v>4335</x:v>
      </x:c>
      <x:c r="F19" s="103" t="n">
        <x:f>'Operating Model'!F19</x:f>
        <x:v>3156</x:v>
      </x:c>
      <x:c r="G19" s="109" t="n">
        <x:f>'Operating Model'!G19</x:f>
        <x:v>3860.0555099999992</x:v>
      </x:c>
      <x:c r="H19" s="110" t="n">
        <x:f>'Operating Model'!H19</x:f>
        <x:v>4595.80178175</x:v>
      </x:c>
      <x:c r="I19" s="110" t="n">
        <x:f>'Operating Model'!I19</x:f>
        <x:v>5082.76396292065</x:v>
      </x:c>
      <x:c r="J19" s="110" t="n">
        <x:f>'Operating Model'!J19</x:f>
        <x:v>5420.55873985862</x:v>
      </x:c>
      <x:c r="K19" s="110" t="n">
        <x:f>'Operating Model'!K19</x:f>
        <x:v>5669.8334669260785</x:v>
      </x:c>
    </x:row>
    <x:row r="20">
      <x:c r="A20" s="71"/>
      <x:c r="B20" s="71"/>
      <x:c r="C20" s="71" t="str">
        <x:v>Net finance charges</x:v>
      </x:c>
      <x:c r="D20" s="101" t="n">
        <x:f>'Operating Model'!D20</x:f>
        <x:v>885</x:v>
      </x:c>
      <x:c r="E20" s="101" t="n">
        <x:f>'Operating Model'!E20</x:f>
        <x:v>771</x:v>
      </x:c>
      <x:c r="F20" s="101" t="n">
        <x:f>'Operating Model'!F20</x:f>
        <x:v>816</x:v>
      </x:c>
      <x:c r="G20" s="106" t="n">
        <x:f>'Operating Model'!G20</x:f>
        <x:v>967.995</x:v>
      </x:c>
      <x:c r="H20" s="107" t="n">
        <x:f>'Operating Model'!H20</x:f>
        <x:v>919.59525</x:v>
      </x:c>
      <x:c r="I20" s="107" t="n">
        <x:f>'Operating Model'!I20</x:f>
        <x:v>890.2904380090313</x:v>
      </x:c>
      <x:c r="J20" s="107" t="n">
        <x:f>'Operating Model'!J20</x:f>
        <x:v>864.4898786963305</x:v>
      </x:c>
      <x:c r="K20" s="107" t="n">
        <x:f>'Operating Model'!K20</x:f>
        <x:v>838.2207819875524</x:v>
      </x:c>
    </x:row>
    <x:row r="21">
      <x:c r="A21" s="71"/>
      <x:c r="B21" s="71"/>
      <x:c r="C21" s="71" t="str">
        <x:v>Associates and other income</x:v>
      </x:c>
      <x:c r="D21" s="101" t="n">
        <x:f>'Operating Model'!D21</x:f>
        <x:v>414</x:v>
      </x:c>
      <x:c r="E21" s="101" t="n">
        <x:f>'Operating Model'!E21</x:f>
        <x:v>193</x:v>
      </x:c>
      <x:c r="F21" s="101" t="n">
        <x:f>'Operating Model'!F21</x:f>
        <x:v>218</x:v>
      </x:c>
      <x:c r="G21" s="106" t="n">
        <x:f>'Operating Model'!G21</x:f>
        <x:v>150</x:v>
      </x:c>
      <x:c r="H21" s="107" t="n">
        <x:f>'Operating Model'!H21</x:f>
        <x:v>160</x:v>
      </x:c>
      <x:c r="I21" s="107" t="n">
        <x:f>'Operating Model'!I21</x:f>
        <x:v>170</x:v>
      </x:c>
      <x:c r="J21" s="107" t="n">
        <x:f>'Operating Model'!J21</x:f>
        <x:v>180</x:v>
      </x:c>
      <x:c r="K21" s="107" t="n">
        <x:f>'Operating Model'!K21</x:f>
        <x:v>190</x:v>
      </x:c>
    </x:row>
    <x:row r="22">
      <x:c r="A22" s="71"/>
      <x:c r="B22" s="71"/>
      <x:c r="C22" s="102" t="str">
        <x:v>Profit before tax</x:v>
      </x:c>
      <x:c r="D22" s="103" t="n">
        <x:f>'Operating Model'!D22</x:f>
        <x:v>5460</x:v>
      </x:c>
      <x:c r="E22" s="103" t="n">
        <x:f>'Operating Model'!E22</x:f>
        <x:v>3537</x:v>
      </x:c>
      <x:c r="F22" s="103" t="n">
        <x:f>'Operating Model'!F22</x:f>
        <x:v>2564</x:v>
      </x:c>
      <x:c r="G22" s="109" t="n">
        <x:f>'Operating Model'!G22</x:f>
        <x:v>3042.0605099999993</x:v>
      </x:c>
      <x:c r="H22" s="110" t="n">
        <x:f>'Operating Model'!H22</x:f>
        <x:v>3836.2065317500005</x:v>
      </x:c>
      <x:c r="I22" s="110" t="n">
        <x:f>'Operating Model'!I22</x:f>
        <x:v>4362.473524911618</x:v>
      </x:c>
      <x:c r="J22" s="110" t="n">
        <x:f>'Operating Model'!J22</x:f>
        <x:v>4736.06886116229</x:v>
      </x:c>
      <x:c r="K22" s="110" t="n">
        <x:f>'Operating Model'!K22</x:f>
        <x:v>5021.612684938526</x:v>
      </x:c>
    </x:row>
    <x:row r="23">
      <x:c r="A23" s="71"/>
      <x:c r="B23" s="71"/>
      <x:c r="C23" s="71" t="str">
        <x:v>Taxation</x:v>
      </x:c>
      <x:c r="D23" s="101" t="n">
        <x:f>'Operating Model'!D23</x:f>
        <x:v>1294</x:v>
      </x:c>
      <x:c r="E23" s="101" t="n">
        <x:f>'Operating Model'!E23</x:f>
        <x:v>999</x:v>
      </x:c>
      <x:c r="F23" s="101" t="n">
        <x:f>'Operating Model'!F23</x:f>
        <x:v>606</x:v>
      </x:c>
      <x:c r="G23" s="106" t="n">
        <x:f>'Operating Model'!G23</x:f>
        <x:v>760.5151274999998</x:v>
      </x:c>
      <x:c r="H23" s="107" t="n">
        <x:f>'Operating Model'!H23</x:f>
        <x:v>959.0516329375001</x:v>
      </x:c>
      <x:c r="I23" s="107" t="n">
        <x:f>'Operating Model'!I23</x:f>
        <x:v>1090.6183812279046</x:v>
      </x:c>
      <x:c r="J23" s="107" t="n">
        <x:f>'Operating Model'!J23</x:f>
        <x:v>1184.0172152905725</x:v>
      </x:c>
      <x:c r="K23" s="107" t="n">
        <x:f>'Operating Model'!K23</x:f>
        <x:v>1255.4031712346316</x:v>
      </x:c>
    </x:row>
    <x:row r="24">
      <x:c r="A24" s="71"/>
      <x:c r="B24" s="71"/>
      <x:c r="C24" s="102" t="str">
        <x:v>Profit for the year</x:v>
      </x:c>
      <x:c r="D24" s="103" t="n">
        <x:f>'Operating Model'!D24</x:f>
        <x:v>4166</x:v>
      </x:c>
      <x:c r="E24" s="103" t="n">
        <x:f>'Operating Model'!E24</x:f>
        <x:v>2538</x:v>
      </x:c>
      <x:c r="F24" s="103" t="n">
        <x:f>'Operating Model'!F24</x:f>
        <x:v>1958</x:v>
      </x:c>
      <x:c r="G24" s="109" t="n">
        <x:f>'Operating Model'!G24</x:f>
        <x:v>2281.5453824999995</x:v>
      </x:c>
      <x:c r="H24" s="110" t="n">
        <x:f>'Operating Model'!H24</x:f>
        <x:v>2877.1548988125005</x:v>
      </x:c>
      <x:c r="I24" s="110" t="n">
        <x:f>'Operating Model'!I24</x:f>
        <x:v>3271.855143683714</x:v>
      </x:c>
      <x:c r="J24" s="110" t="n">
        <x:f>'Operating Model'!J24</x:f>
        <x:v>3552.0516458717175</x:v>
      </x:c>
      <x:c r="K24" s="110" t="n">
        <x:f>'Operating Model'!K24</x:f>
        <x:v>3766.209513703895</x:v>
      </x:c>
    </x:row>
    <x:row r="25">
      <x:c r="A25" s="71"/>
      <x:c r="B25" s="71"/>
      <x:c r="C25" s="71" t="str">
        <x:v>NCI profit</x:v>
      </x:c>
      <x:c r="D25" s="101" t="n">
        <x:f>'Operating Model'!D25</x:f>
        <x:v>296</x:v>
      </x:c>
      <x:c r="E25" s="101" t="n">
        <x:f>'Operating Model'!E25</x:f>
        <x:v>184</x:v>
      </x:c>
      <x:c r="F25" s="101" t="n">
        <x:f>'Operating Model'!F25</x:f>
        <x:v>221</x:v>
      </x:c>
      <x:c r="G25" s="106" t="n">
        <x:f>'Operating Model'!G25</x:f>
        <x:v>228.15453824999997</x:v>
      </x:c>
      <x:c r="H25" s="107" t="n">
        <x:f>'Operating Model'!H25</x:f>
        <x:v>287.71548988125005</x:v>
      </x:c>
      <x:c r="I25" s="107" t="n">
        <x:f>'Operating Model'!I25</x:f>
        <x:v>327.1855143683714</x:v>
      </x:c>
      <x:c r="J25" s="107" t="n">
        <x:f>'Operating Model'!J25</x:f>
        <x:v>355.2051645871718</x:v>
      </x:c>
      <x:c r="K25" s="107" t="n">
        <x:f>'Operating Model'!K25</x:f>
        <x:v>376.62095137038955</x:v>
      </x:c>
    </x:row>
    <x:row r="26">
      <x:c r="A26" s="71"/>
      <x:c r="B26" s="71"/>
      <x:c r="C26" s="102" t="str">
        <x:v>Net income attributable to shareholders</x:v>
      </x:c>
      <x:c r="D26" s="103" t="n">
        <x:f>'Operating Model'!D26</x:f>
        <x:v>3870</x:v>
      </x:c>
      <x:c r="E26" s="103" t="n">
        <x:f>'Operating Model'!E26</x:f>
        <x:v>2354</x:v>
      </x:c>
      <x:c r="F26" s="103" t="n">
        <x:f>'Operating Model'!F26</x:f>
        <x:v>1737</x:v>
      </x:c>
      <x:c r="G26" s="109" t="n">
        <x:f>'Operating Model'!G26</x:f>
        <x:v>2053.3908442499996</x:v>
      </x:c>
      <x:c r="H26" s="110" t="n">
        <x:f>'Operating Model'!H26</x:f>
        <x:v>2589.4394089312505</x:v>
      </x:c>
      <x:c r="I26" s="110" t="n">
        <x:f>'Operating Model'!I26</x:f>
        <x:v>2944.6696293153423</x:v>
      </x:c>
      <x:c r="J26" s="110" t="n">
        <x:f>'Operating Model'!J26</x:f>
        <x:v>3196.846481284546</x:v>
      </x:c>
      <x:c r="K26" s="110" t="n">
        <x:f>'Operating Model'!K26</x:f>
        <x:v>3389.5885623335053</x:v>
      </x:c>
    </x:row>
    <x:row r="27">
      <x:c r="A27" s="71"/>
      <x:c r="B27" s="71"/>
      <x:c r="C27" s="71" t="str">
        <x:v>Diluted EPS (cents)</x:v>
      </x:c>
      <x:c r="D27" s="105" t="n">
        <x:f>'Operating Model'!D28</x:f>
        <x:v>172.8</x:v>
      </x:c>
      <x:c r="E27" s="105" t="n">
        <x:f>'Operating Model'!E28</x:f>
        <x:v>105.7</x:v>
      </x:c>
      <x:c r="F27" s="105" t="n">
        <x:f>'Operating Model'!F28</x:f>
        <x:v>77.9</x:v>
      </x:c>
      <x:c r="G27" s="111" t="n">
        <x:f>'Operating Model'!G28</x:f>
        <x:v>92.03903380770953</x:v>
      </x:c>
      <x:c r="H27" s="112" t="n">
        <x:f>'Operating Model'!H28</x:f>
        <x:v>116.06631147159348</x:v>
      </x:c>
      <x:c r="I27" s="112" t="n">
        <x:f>'Operating Model'!I28</x:f>
        <x:v>131.98877764748283</x:v>
      </x:c>
      <x:c r="J27" s="112" t="n">
        <x:f>'Operating Model'!J28</x:f>
        <x:v>143.29208791055785</x:v>
      </x:c>
      <x:c r="K27" s="112" t="n">
        <x:f>'Operating Model'!K28</x:f>
        <x:v>151.93135644704194</x:v>
      </x:c>
    </x:row>
    <x:row r="28">
      <x:c r="A28" s="71"/>
      <x:c r="B28" s="71"/>
      <x:c r="C28" s="71"/>
      <x:c r="D28" s="71"/>
      <x:c r="E28" s="71"/>
      <x:c r="F28" s="71"/>
      <x:c r="G28" s="113"/>
      <x:c r="H28" s="114"/>
      <x:c r="I28" s="114"/>
      <x:c r="J28" s="114"/>
      <x:c r="K28" s="114"/>
    </x:row>
    <x:row r="29">
      <x:c r="A29" s="71"/>
      <x:c r="B29" s="71"/>
      <x:c r="C29" s="71"/>
      <x:c r="D29" s="71"/>
      <x:c r="E29" s="71"/>
      <x:c r="F29" s="71"/>
      <x:c r="G29" s="113"/>
      <x:c r="H29" s="114"/>
      <x:c r="I29" s="114"/>
      <x:c r="J29" s="114"/>
      <x:c r="K29" s="114"/>
    </x:row>
    <x:row r="30">
      <x:c r="A30" s="71"/>
      <x:c r="B30" s="71"/>
      <x:c r="C30" s="71"/>
      <x:c r="D30" s="71"/>
      <x:c r="E30" s="71"/>
      <x:c r="F30" s="71"/>
      <x:c r="G30" s="113"/>
      <x:c r="H30" s="114"/>
      <x:c r="I30" s="114"/>
      <x:c r="J30" s="114"/>
      <x:c r="K30" s="114"/>
    </x:row>
    <x:row r="31">
      <x:c r="A31" s="71"/>
      <x:c r="B31" s="71"/>
      <x:c r="C31" s="75" t="str">
        <x:v>Balance sheet</x:v>
      </x:c>
      <x:c r="D31" s="75"/>
      <x:c r="E31" s="75"/>
      <x:c r="F31" s="75"/>
      <x:c r="G31" s="115"/>
      <x:c r="H31" s="116"/>
      <x:c r="I31" s="116"/>
      <x:c r="J31" s="116"/>
      <x:c r="K31" s="116"/>
    </x:row>
    <x:row r="32">
      <x:c r="A32" s="71"/>
      <x:c r="B32" s="71"/>
      <x:c r="C32" s="71" t="str">
        <x:v>Intangible assets</x:v>
      </x:c>
      <x:c r="D32" s="101" t="n">
        <x:f>'Historicals'!D30</x:f>
        <x:v>14814</x:v>
      </x:c>
      <x:c r="E32" s="101" t="n">
        <x:f>'Historicals'!E30</x:f>
        <x:v>14776</x:v>
      </x:c>
      <x:c r="F32" s="101" t="n">
        <x:f>'Historicals'!F30</x:f>
        <x:v>13375</x:v>
      </x:c>
      <x:c r="G32" s="106" t="n">
        <x:f>'Schedules'!G30</x:f>
        <x:v>13245.18985</x:v>
      </x:c>
      <x:c r="H32" s="107" t="n">
        <x:f>'Schedules'!H30</x:f>
        <x:v>13119.57149355</x:v>
      </x:c>
      <x:c r="I32" s="107" t="n">
        <x:f>'Schedules'!I30</x:f>
        <x:v>12999.00151378965</x:v>
      </x:c>
      <x:c r="J32" s="107" t="n">
        <x:f>'Schedules'!J30</x:f>
        <x:v>12884.014477148126</x:v>
      </x:c>
      <x:c r="K32" s="107" t="n">
        <x:f>'Schedules'!K30</x:f>
        <x:v>12774.642700769255</x:v>
      </x:c>
    </x:row>
    <x:row r="33">
      <x:c r="A33" s="71"/>
      <x:c r="B33" s="71"/>
      <x:c r="C33" s="71" t="str">
        <x:v>Property, plant and equipment</x:v>
      </x:c>
      <x:c r="D33" s="101" t="n">
        <x:f>'Historicals'!D31</x:f>
        <x:v>8509</x:v>
      </x:c>
      <x:c r="E33" s="101" t="n">
        <x:f>'Historicals'!E31</x:f>
        <x:v>9528</x:v>
      </x:c>
      <x:c r="F33" s="101" t="n">
        <x:f>'Historicals'!F31</x:f>
        <x:v>8996</x:v>
      </x:c>
      <x:c r="G33" s="106" t="n">
        <x:f>'Schedules'!G25</x:f>
        <x:v>9582.0382</x:v>
      </x:c>
      <x:c r="H33" s="107" t="n">
        <x:f>'Schedules'!H25</x:f>
        <x:v>10153.804169000001</x:v>
      </x:c>
      <x:c r="I33" s="107" t="n">
        <x:f>'Schedules'!I25</x:f>
        <x:v>10723.359725575</x:v>
      </x:c>
      <x:c r="J33" s="107" t="n">
        <x:f>'Schedules'!J25</x:f>
        <x:v>11298.293212527424</x:v>
      </x:c>
      <x:c r="K33" s="107" t="n">
        <x:f>'Schedules'!K25</x:f>
        <x:v>11879.781790504905</x:v>
      </x:c>
    </x:row>
    <x:row r="34">
      <x:c r="A34" s="71"/>
      <x:c r="B34" s="71"/>
      <x:c r="C34" s="71" t="str">
        <x:v>Other non-current assets</x:v>
      </x:c>
      <x:c r="D34" s="101" t="n">
        <x:f>'Historicals'!D32</x:f>
        <x:v>7025</x:v>
      </x:c>
      <x:c r="E34" s="101" t="n">
        <x:f>'Historicals'!E32</x:f>
        <x:v>7521</x:v>
      </x:c>
      <x:c r="F34" s="101" t="n">
        <x:f>'Historicals'!F32</x:f>
        <x:v>7262</x:v>
      </x:c>
      <x:c r="G34" s="106" t="n">
        <x:f>'Schedules'!G13</x:f>
        <x:v>6829.5395</x:v>
      </x:c>
      <x:c r="H34" s="107" t="n">
        <x:f>'Schedules'!H13</x:f>
        <x:v>6868.941099</x:v>
      </x:c>
      <x:c r="I34" s="107" t="n">
        <x:f>'Schedules'!I13</x:f>
        <x:v>6967.466022840001</x:v>
      </x:c>
      <x:c r="J34" s="107" t="n">
        <x:f>'Schedules'!J13</x:f>
        <x:v>7101.731269224301</x:v>
      </x:c>
      <x:c r="K34" s="107" t="n">
        <x:f>'Schedules'!K13</x:f>
        <x:v>7237.327002354704</x:v>
      </x:c>
    </x:row>
    <x:row r="35">
      <x:c r="A35" s="71"/>
      <x:c r="B35" s="71"/>
      <x:c r="C35" s="71" t="str">
        <x:v>Inventories</x:v>
      </x:c>
      <x:c r="D35" s="101" t="n">
        <x:f>'Historicals'!D33</x:f>
        <x:v>9720</x:v>
      </x:c>
      <x:c r="E35" s="101" t="n">
        <x:f>'Historicals'!E33</x:f>
        <x:v>10658</x:v>
      </x:c>
      <x:c r="F35" s="101" t="n">
        <x:f>'Historicals'!F33</x:f>
        <x:v>10529</x:v>
      </x:c>
      <x:c r="G35" s="106" t="n">
        <x:f>'Schedules'!G11</x:f>
        <x:v>10439.438950000002</x:v>
      </x:c>
      <x:c r="H35" s="107" t="n">
        <x:f>'Schedules'!H11</x:f>
        <x:v>10452.736455</x:v>
      </x:c>
      <x:c r="I35" s="107" t="n">
        <x:f>'Schedules'!I11</x:f>
        <x:v>10553.66176989</x:v>
      </x:c>
      <x:c r="J35" s="107" t="n">
        <x:f>'Schedules'!J11</x:f>
        <x:v>10705.594898382902</x:v>
      </x:c>
      <x:c r="K35" s="107" t="n">
        <x:f>'Schedules'!K11</x:f>
        <x:v>10965.646973264702</x:v>
      </x:c>
    </x:row>
    <x:row r="36">
      <x:c r="A36" s="71"/>
      <x:c r="B36" s="71"/>
      <x:c r="C36" s="71" t="str">
        <x:v>Trade and other receivables</x:v>
      </x:c>
      <x:c r="D36" s="101" t="n">
        <x:f>'Historicals'!D34</x:f>
        <x:v>3487</x:v>
      </x:c>
      <x:c r="E36" s="101" t="n">
        <x:f>'Historicals'!E34</x:f>
        <x:v>3504</x:v>
      </x:c>
      <x:c r="F36" s="101" t="n">
        <x:f>'Historicals'!F34</x:f>
        <x:v>3277</x:v>
      </x:c>
      <x:c r="G36" s="106" t="n">
        <x:f>'Schedules'!G10</x:f>
        <x:v>3317.2049000000006</x:v>
      </x:c>
      <x:c r="H36" s="107" t="n">
        <x:f>'Schedules'!H10</x:f>
        <x:v>3344.8756656000005</x:v>
      </x:c>
      <x:c r="I36" s="107" t="n">
        <x:f>'Schedules'!I10</x:f>
        <x:v>3401.7628229160005</x:v>
      </x:c>
      <x:c r="J36" s="107" t="n">
        <x:f>'Schedules'!J10</x:f>
        <x:v>3497.867640065701</x:v>
      </x:c>
      <x:c r="K36" s="107" t="n">
        <x:f>'Schedules'!K10</x:f>
        <x:v>3618.663501177352</x:v>
      </x:c>
    </x:row>
    <x:row r="37">
      <x:c r="A37" s="71"/>
      <x:c r="B37" s="71"/>
      <x:c r="C37" s="71" t="str">
        <x:v>Other current assets</x:v>
      </x:c>
      <x:c r="D37" s="101" t="n">
        <x:f>'Historicals'!D35</x:f>
        <x:v>789</x:v>
      </x:c>
      <x:c r="E37" s="101" t="n">
        <x:f>'Historicals'!E35</x:f>
        <x:v>1135</x:v>
      </x:c>
      <x:c r="F37" s="101" t="n">
        <x:f>'Historicals'!F35</x:f>
        <x:v>1886</x:v>
      </x:c>
      <x:c r="G37" s="106" t="n">
        <x:f>'Schedules'!G12</x:f>
        <x:v>1365.9079000000002</x:v>
      </x:c>
      <x:c r="H37" s="107" t="n">
        <x:f>'Schedules'!H12</x:f>
        <x:v>1393.6981940000003</x:v>
      </x:c>
      <x:c r="I37" s="107" t="n">
        <x:f>'Schedules'!I12</x:f>
        <x:v>1434.4782988200002</x:v>
      </x:c>
      <x:c r="J37" s="107" t="n">
        <x:f>'Schedules'!J12</x:f>
        <x:v>1483.9438473006003</x:v>
      </x:c>
      <x:c r="K37" s="107" t="n">
        <x:f>'Schedules'!K12</x:f>
        <x:v>1535.1905762570584</x:v>
      </x:c>
    </x:row>
    <x:row r="38">
      <x:c r="A38" s="71"/>
      <x:c r="B38" s="71"/>
      <x:c r="C38" s="71" t="str">
        <x:v>Cash and cash equivalents</x:v>
      </x:c>
      <x:c r="D38" s="101" t="n">
        <x:f>'Historicals'!D36</x:f>
        <x:v>1130</x:v>
      </x:c>
      <x:c r="E38" s="101" t="n">
        <x:f>'Historicals'!E36</x:f>
        <x:v>2200</x:v>
      </x:c>
      <x:c r="F38" s="101" t="n">
        <x:f>'Historicals'!F36</x:f>
        <x:v>1520</x:v>
      </x:c>
      <x:c r="G38" s="106" t="n">
        <x:f>G78</x:f>
        <x:v>612.1169147499977</x:v>
      </x:c>
      <x:c r="H38" s="107" t="n">
        <x:f>H78</x:f>
        <x:v>499.99999999999955</x:v>
      </x:c>
      <x:c r="I38" s="107" t="n">
        <x:f>I78</x:f>
        <x:v>500.00000000000045</x:v>
      </x:c>
      <x:c r="J38" s="107" t="n">
        <x:f>J78</x:f>
        <x:v>500.0000000000009</x:v>
      </x:c>
      <x:c r="K38" s="107" t="n">
        <x:f>K78</x:f>
        <x:v>500</x:v>
      </x:c>
    </x:row>
    <x:row r="39">
      <x:c r="A39" s="71"/>
      <x:c r="B39" s="71"/>
      <x:c r="C39" s="102" t="str">
        <x:v>Total assets</x:v>
      </x:c>
      <x:c r="D39" s="103" t="n">
        <x:f>'Historicals'!D37</x:f>
        <x:v>45474</x:v>
      </x:c>
      <x:c r="E39" s="103" t="n">
        <x:f>'Historicals'!E37</x:f>
        <x:v>49322</x:v>
      </x:c>
      <x:c r="F39" s="103" t="n">
        <x:f>'Historicals'!F37</x:f>
        <x:v>46845</x:v>
      </x:c>
      <x:c r="G39" s="109" t="n">
        <x:f>SUM(G32:G38)</x:f>
        <x:v>45391.43621474999</x:v>
      </x:c>
      <x:c r="H39" s="110" t="n">
        <x:f>SUM(H32:H38)</x:f>
        <x:v>45833.627076150005</x:v>
      </x:c>
      <x:c r="I39" s="110" t="n">
        <x:f>SUM(I32:I38)</x:f>
        <x:v>46579.73015383066</x:v>
      </x:c>
      <x:c r="J39" s="110" t="n">
        <x:f>SUM(J32:J38)</x:f>
        <x:v>47471.44534464905</x:v>
      </x:c>
      <x:c r="K39" s="110" t="n">
        <x:f>SUM(K32:K38)</x:f>
        <x:v>48511.25254432798</x:v>
      </x:c>
    </x:row>
    <x:row r="40">
      <x:c r="A40" s="71"/>
      <x:c r="B40" s="71"/>
      <x:c r="C40" s="71"/>
      <x:c r="D40" s="101"/>
      <x:c r="E40" s="101"/>
      <x:c r="F40" s="101"/>
      <x:c r="G40" s="106"/>
      <x:c r="H40" s="107"/>
      <x:c r="I40" s="107"/>
      <x:c r="J40" s="107"/>
      <x:c r="K40" s="107"/>
    </x:row>
    <x:row r="41">
      <x:c r="A41" s="71"/>
      <x:c r="B41" s="71"/>
      <x:c r="C41" s="71" t="str">
        <x:v>Borrowings</x:v>
      </x:c>
      <x:c r="D41" s="101" t="n">
        <x:f>'Historicals'!D38</x:f>
        <x:v>21501</x:v>
      </x:c>
      <x:c r="E41" s="101" t="n">
        <x:f>'Historicals'!E38</x:f>
        <x:v>23748</x:v>
      </x:c>
      <x:c r="F41" s="101" t="n">
        <x:f>'Historicals'!F38</x:f>
        <x:v>21511</x:v>
      </x:c>
      <x:c r="G41" s="106" t="n">
        <x:f>'Schedules'!G46</x:f>
        <x:v>20435.45</x:v>
      </x:c>
      <x:c r="H41" s="107" t="n">
        <x:f>'Schedules'!H46</x:f>
        <x:v>19784.23195575625</x:v>
      </x:c>
      <x:c r="I41" s="107" t="n">
        <x:f>'Schedules'!I46</x:f>
        <x:v>19210.88619325179</x:v>
      </x:c>
      <x:c r="J41" s="107" t="n">
        <x:f>'Schedules'!J46</x:f>
        <x:v>18627.128488612278</x:v>
      </x:c>
      <x:c r="K41" s="107" t="n">
        <x:f>'Schedules'!K46</x:f>
        <x:v>18112.457079969376</x:v>
      </x:c>
    </x:row>
    <x:row r="42">
      <x:c r="A42" s="71"/>
      <x:c r="B42" s="71"/>
      <x:c r="C42" s="71" t="str">
        <x:v>Trade and other payables</x:v>
      </x:c>
      <x:c r="D42" s="101" t="n">
        <x:f>'Historicals'!D39</x:f>
        <x:v>6658</x:v>
      </x:c>
      <x:c r="E42" s="101" t="n">
        <x:f>'Historicals'!E39</x:f>
        <x:v>7144</x:v>
      </x:c>
      <x:c r="F42" s="101" t="n">
        <x:f>'Historicals'!F39</x:f>
        <x:v>6575</x:v>
      </x:c>
      <x:c r="G42" s="106" t="n">
        <x:f>'Schedules'!G14</x:f>
        <x:v>5853.8910000000005</x:v>
      </x:c>
      <x:c r="H42" s="107" t="n">
        <x:f>'Schedules'!H14</x:f>
        <x:v>5972.99226</x:v>
      </x:c>
      <x:c r="I42" s="107" t="n">
        <x:f>'Schedules'!I14</x:f>
        <x:v>6147.7641378</x:v>
      </x:c>
      <x:c r="J42" s="107" t="n">
        <x:f>'Schedules'!J14</x:f>
        <x:v>6359.759345574001</x:v>
      </x:c>
      <x:c r="K42" s="107" t="n">
        <x:f>'Schedules'!K14</x:f>
        <x:v>6579.388183958821</x:v>
      </x:c>
    </x:row>
    <x:row r="43">
      <x:c r="A43" s="71"/>
      <x:c r="B43" s="71"/>
      <x:c r="C43" s="71" t="str">
        <x:v>Other liabilities</x:v>
      </x:c>
      <x:c r="D43" s="101" t="n">
        <x:f>'Historicals'!D40</x:f>
        <x:v>5245</x:v>
      </x:c>
      <x:c r="E43" s="101" t="n">
        <x:f>'Historicals'!E40</x:f>
        <x:v>5252</x:v>
      </x:c>
      <x:c r="F43" s="101" t="n">
        <x:f>'Historicals'!F40</x:f>
        <x:v>5805</x:v>
      </x:c>
      <x:c r="G43" s="106" t="n">
        <x:f>'Schedules'!G15</x:f>
        <x:v>5463.631600000001</x:v>
      </x:c>
      <x:c r="H43" s="107" t="n">
        <x:f>'Schedules'!H15</x:f>
        <x:v>5574.792776000001</x:v>
      </x:c>
      <x:c r="I43" s="107" t="n">
        <x:f>'Schedules'!I15</x:f>
        <x:v>5737.913195280001</x:v>
      </x:c>
      <x:c r="J43" s="107" t="n">
        <x:f>'Schedules'!J15</x:f>
        <x:v>5935.775389202401</x:v>
      </x:c>
      <x:c r="K43" s="107" t="n">
        <x:f>'Schedules'!K15</x:f>
        <x:v>6140.762305028234</x:v>
      </x:c>
    </x:row>
    <x:row r="44">
      <x:c r="A44" s="71"/>
      <x:c r="B44" s="71"/>
      <x:c r="C44" s="102" t="str">
        <x:v>Total liabilities</x:v>
      </x:c>
      <x:c r="D44" s="103" t="n">
        <x:f>'Historicals'!D41</x:f>
        <x:v>33404</x:v>
      </x:c>
      <x:c r="E44" s="103" t="n">
        <x:f>'Historicals'!E41</x:f>
        <x:v>36144</x:v>
      </x:c>
      <x:c r="F44" s="103" t="n">
        <x:f>'Historicals'!F41</x:f>
        <x:v>33891</x:v>
      </x:c>
      <x:c r="G44" s="109" t="n">
        <x:f>SUM(G41:G43)</x:f>
        <x:v>31752.9726</x:v>
      </x:c>
      <x:c r="H44" s="110" t="n">
        <x:f>SUM(H41:H43)</x:f>
        <x:v>31332.016991756253</x:v>
      </x:c>
      <x:c r="I44" s="110" t="n">
        <x:f>SUM(I41:I43)</x:f>
        <x:v>31096.563526331793</x:v>
      </x:c>
      <x:c r="J44" s="110" t="n">
        <x:f>SUM(J41:J43)</x:f>
        <x:v>30922.66322338868</x:v>
      </x:c>
      <x:c r="K44" s="110" t="n">
        <x:f>SUM(K41:K43)</x:f>
        <x:v>30832.60756895643</x:v>
      </x:c>
    </x:row>
    <x:row r="45">
      <x:c r="A45" s="71"/>
      <x:c r="B45" s="71"/>
      <x:c r="C45" s="71"/>
      <x:c r="D45" s="101"/>
      <x:c r="E45" s="101"/>
      <x:c r="F45" s="101"/>
      <x:c r="G45" s="106"/>
      <x:c r="H45" s="107"/>
      <x:c r="I45" s="107"/>
      <x:c r="J45" s="107"/>
      <x:c r="K45" s="107"/>
    </x:row>
    <x:row r="46">
      <x:c r="A46" s="71"/>
      <x:c r="B46" s="71"/>
      <x:c r="C46" s="71" t="str">
        <x:v>Share capital</x:v>
      </x:c>
      <x:c r="D46" s="101" t="n">
        <x:f>'Historicals'!D42</x:f>
        <x:v>887</x:v>
      </x:c>
      <x:c r="E46" s="101" t="n">
        <x:f>'Historicals'!E42</x:f>
        <x:v>887</x:v>
      </x:c>
      <x:c r="F46" s="101" t="n">
        <x:f>'Historicals'!F42</x:f>
        <x:v>887</x:v>
      </x:c>
      <x:c r="G46" s="106" t="n">
        <x:f>$F$46</x:f>
        <x:v>887</x:v>
      </x:c>
      <x:c r="H46" s="107" t="n">
        <x:f>$F$46</x:f>
        <x:v>887</x:v>
      </x:c>
      <x:c r="I46" s="107" t="n">
        <x:f>$F$46</x:f>
        <x:v>887</x:v>
      </x:c>
      <x:c r="J46" s="107" t="n">
        <x:f>$F$46</x:f>
        <x:v>887</x:v>
      </x:c>
      <x:c r="K46" s="107" t="n">
        <x:f>$F$46</x:f>
        <x:v>887</x:v>
      </x:c>
    </x:row>
    <x:row r="47">
      <x:c r="A47" s="71"/>
      <x:c r="B47" s="71"/>
      <x:c r="C47" s="71" t="str">
        <x:v>Share premium</x:v>
      </x:c>
      <x:c r="D47" s="101" t="n">
        <x:f>'Historicals'!D43</x:f>
        <x:v>1703</x:v>
      </x:c>
      <x:c r="E47" s="101" t="n">
        <x:f>'Historicals'!E43</x:f>
        <x:v>1703</x:v>
      </x:c>
      <x:c r="F47" s="101" t="n">
        <x:f>'Historicals'!F43</x:f>
        <x:v>1703</x:v>
      </x:c>
      <x:c r="G47" s="106" t="n">
        <x:f>$F$47</x:f>
        <x:v>1703</x:v>
      </x:c>
      <x:c r="H47" s="107" t="n">
        <x:f>$F$47</x:f>
        <x:v>1703</x:v>
      </x:c>
      <x:c r="I47" s="107" t="n">
        <x:f>$F$47</x:f>
        <x:v>1703</x:v>
      </x:c>
      <x:c r="J47" s="107" t="n">
        <x:f>$F$47</x:f>
        <x:v>1703</x:v>
      </x:c>
      <x:c r="K47" s="107" t="n">
        <x:f>$F$47</x:f>
        <x:v>1703</x:v>
      </x:c>
    </x:row>
    <x:row r="48">
      <x:c r="A48" s="71"/>
      <x:c r="B48" s="71"/>
      <x:c r="C48" s="71" t="str">
        <x:v>Other reserves</x:v>
      </x:c>
      <x:c r="D48" s="101" t="n">
        <x:f>'Historicals'!D44</x:f>
        <x:v>-91</x:v>
      </x:c>
      <x:c r="E48" s="101" t="n">
        <x:f>'Historicals'!E44</x:f>
        <x:v>454</x:v>
      </x:c>
      <x:c r="F48" s="101" t="n">
        <x:f>'Historicals'!F44</x:f>
        <x:v>-10</x:v>
      </x:c>
      <x:c r="G48" s="106" t="n">
        <x:f>$F$48</x:f>
        <x:v>-10</x:v>
      </x:c>
      <x:c r="H48" s="107" t="n">
        <x:f>$F$48</x:f>
        <x:v>-10</x:v>
      </x:c>
      <x:c r="I48" s="107" t="n">
        <x:f>$F$48</x:f>
        <x:v>-10</x:v>
      </x:c>
      <x:c r="J48" s="107" t="n">
        <x:f>$F$48</x:f>
        <x:v>-10</x:v>
      </x:c>
      <x:c r="K48" s="107" t="n">
        <x:f>$F$48</x:f>
        <x:v>-10</x:v>
      </x:c>
    </x:row>
    <x:row r="49">
      <x:c r="A49" s="71"/>
      <x:c r="B49" s="71"/>
      <x:c r="C49" s="71" t="str">
        <x:v>Retained earnings</x:v>
      </x:c>
      <x:c r="D49" s="101" t="n">
        <x:f>'Historicals'!D45</x:f>
        <x:v>7533</x:v>
      </x:c>
      <x:c r="E49" s="101" t="n">
        <x:f>'Historicals'!E45</x:f>
        <x:v>8046</x:v>
      </x:c>
      <x:c r="F49" s="101" t="n">
        <x:f>'Historicals'!F45</x:f>
        <x:v>8291</x:v>
      </x:c>
      <x:c r="G49" s="106" t="n">
        <x:f>'Schedules'!G56</x:f>
        <x:v>8907.017253275</x:v>
      </x:c>
      <x:c r="H49" s="107" t="n">
        <x:f>'Schedules'!H56</x:f>
        <x:v>9683.849075954375</x:v>
      </x:c>
      <x:c r="I49" s="107" t="n">
        <x:f>'Schedules'!I56</x:f>
        <x:v>10567.249964748977</x:v>
      </x:c>
      <x:c r="J49" s="107" t="n">
        <x:f>'Schedules'!J56</x:f>
        <x:v>11526.303909134342</x:v>
      </x:c>
      <x:c r="K49" s="107" t="n">
        <x:f>'Schedules'!K56</x:f>
        <x:v>12543.180477834394</x:v>
      </x:c>
    </x:row>
    <x:row r="50">
      <x:c r="A50" s="71"/>
      <x:c r="B50" s="71"/>
      <x:c r="C50" s="71" t="str">
        <x:v>NCI</x:v>
      </x:c>
      <x:c r="D50" s="101" t="n">
        <x:f>'Historicals'!D46</x:f>
        <x:v>2038</x:v>
      </x:c>
      <x:c r="E50" s="101" t="n">
        <x:f>'Historicals'!E46</x:f>
        <x:v>2088</x:v>
      </x:c>
      <x:c r="F50" s="101" t="n">
        <x:f>'Historicals'!F46</x:f>
        <x:v>2083</x:v>
      </x:c>
      <x:c r="G50" s="106" t="n">
        <x:f>'Schedules'!G61</x:f>
        <x:v>2151.446361475</x:v>
      </x:c>
      <x:c r="H50" s="107" t="n">
        <x:f>'Schedules'!H61</x:f>
        <x:v>2237.7610084393746</x:v>
      </x:c>
      <x:c r="I50" s="107" t="n">
        <x:f>'Schedules'!I61</x:f>
        <x:v>2335.916662749886</x:v>
      </x:c>
      <x:c r="J50" s="107" t="n">
        <x:f>'Schedules'!J61</x:f>
        <x:v>2442.4782121260378</x:v>
      </x:c>
      <x:c r="K50" s="107" t="n">
        <x:f>'Schedules'!K61</x:f>
        <x:v>2555.464497537155</x:v>
      </x:c>
    </x:row>
    <x:row r="51">
      <x:c r="A51" s="71"/>
      <x:c r="B51" s="71"/>
      <x:c r="C51" s="102" t="str">
        <x:v>Total equity</x:v>
      </x:c>
      <x:c r="D51" s="103" t="n">
        <x:f>'Historicals'!D47</x:f>
        <x:v>12070</x:v>
      </x:c>
      <x:c r="E51" s="103" t="n">
        <x:f>'Historicals'!E47</x:f>
        <x:v>13178</x:v>
      </x:c>
      <x:c r="F51" s="103" t="n">
        <x:f>'Historicals'!F47</x:f>
        <x:v>12954</x:v>
      </x:c>
      <x:c r="G51" s="109" t="n">
        <x:f>SUM(G46:G50)</x:f>
        <x:v>13638.46361475</x:v>
      </x:c>
      <x:c r="H51" s="110" t="n">
        <x:f>SUM(H46:H50)</x:f>
        <x:v>14501.61008439375</x:v>
      </x:c>
      <x:c r="I51" s="110" t="n">
        <x:f>SUM(I46:I50)</x:f>
        <x:v>15483.166627498864</x:v>
      </x:c>
      <x:c r="J51" s="110" t="n">
        <x:f>SUM(J46:J50)</x:f>
        <x:v>16548.78212126038</x:v>
      </x:c>
      <x:c r="K51" s="110" t="n">
        <x:f>SUM(K46:K50)</x:f>
        <x:v>17678.64497537155</x:v>
      </x:c>
    </x:row>
    <x:row r="52">
      <x:c r="A52" s="71"/>
      <x:c r="B52" s="71"/>
      <x:c r="C52" s="102" t="str">
        <x:v>Total liabilities and equity</x:v>
      </x:c>
      <x:c r="D52" s="103" t="n">
        <x:f>'Historicals'!D48</x:f>
        <x:v>45474</x:v>
      </x:c>
      <x:c r="E52" s="103" t="n">
        <x:f>'Historicals'!E48</x:f>
        <x:v>49322</x:v>
      </x:c>
      <x:c r="F52" s="103" t="n">
        <x:f>'Historicals'!F48</x:f>
        <x:v>46845</x:v>
      </x:c>
      <x:c r="G52" s="109" t="n">
        <x:f>G44+G51</x:f>
        <x:v>45391.43621475</x:v>
      </x:c>
      <x:c r="H52" s="110" t="n">
        <x:f>H44+H51</x:f>
        <x:v>45833.627076150005</x:v>
      </x:c>
      <x:c r="I52" s="110" t="n">
        <x:f>I44+I51</x:f>
        <x:v>46579.73015383066</x:v>
      </x:c>
      <x:c r="J52" s="110" t="n">
        <x:f>J44+J51</x:f>
        <x:v>47471.445344649066</x:v>
      </x:c>
      <x:c r="K52" s="110" t="n">
        <x:f>K44+K51</x:f>
        <x:v>48511.25254432798</x:v>
      </x:c>
    </x:row>
    <x:row r="53">
      <x:c r="A53" s="71"/>
      <x:c r="B53" s="71"/>
      <x:c r="C53" s="102" t="str">
        <x:v>Balance sheet check</x:v>
      </x:c>
      <x:c r="D53" s="103" t="n">
        <x:f>'Historicals'!D49</x:f>
        <x:v>0</x:v>
      </x:c>
      <x:c r="E53" s="103" t="n">
        <x:f>'Historicals'!E49</x:f>
        <x:v>0</x:v>
      </x:c>
      <x:c r="F53" s="103" t="n">
        <x:f>'Historicals'!F49</x:f>
        <x:v>0</x:v>
      </x:c>
      <x:c r="G53" s="109" t="n">
        <x:f>G39-G52</x:f>
        <x:v>-7.275957614183426e-12</x:v>
      </x:c>
      <x:c r="H53" s="110" t="n">
        <x:f>H39-H52</x:f>
        <x:v>0</x:v>
      </x:c>
      <x:c r="I53" s="110" t="n">
        <x:f>I39-I52</x:f>
        <x:v>0</x:v>
      </x:c>
      <x:c r="J53" s="110" t="n">
        <x:f>J39-J52</x:f>
        <x:v>-1.4551915228366852e-11</x:v>
      </x:c>
      <x:c r="K53" s="110" t="n">
        <x:f>K39-K52</x:f>
        <x:v>0</x:v>
      </x:c>
    </x:row>
    <x:row r="54">
      <x:c r="A54" s="71"/>
      <x:c r="B54" s="71"/>
      <x:c r="C54" s="71"/>
      <x:c r="D54" s="71"/>
      <x:c r="E54" s="71"/>
      <x:c r="F54" s="71"/>
      <x:c r="G54" s="113"/>
      <x:c r="H54" s="114"/>
      <x:c r="I54" s="114"/>
      <x:c r="J54" s="114"/>
      <x:c r="K54" s="114"/>
    </x:row>
    <x:row r="55">
      <x:c r="A55" s="71"/>
      <x:c r="B55" s="71"/>
      <x:c r="C55" s="71"/>
      <x:c r="D55" s="71"/>
      <x:c r="E55" s="71"/>
      <x:c r="F55" s="71"/>
      <x:c r="G55" s="113"/>
      <x:c r="H55" s="114"/>
      <x:c r="I55" s="114"/>
      <x:c r="J55" s="114"/>
      <x:c r="K55" s="114"/>
    </x:row>
    <x:row r="56">
      <x:c r="A56" s="71"/>
      <x:c r="B56" s="71"/>
      <x:c r="C56" s="71"/>
      <x:c r="D56" s="71"/>
      <x:c r="E56" s="71"/>
      <x:c r="F56" s="71"/>
      <x:c r="G56" s="113"/>
      <x:c r="H56" s="114"/>
      <x:c r="I56" s="114"/>
      <x:c r="J56" s="114"/>
      <x:c r="K56" s="114"/>
    </x:row>
    <x:row r="57">
      <x:c r="A57" s="71"/>
      <x:c r="B57" s="71"/>
      <x:c r="C57" s="75" t="str">
        <x:v>Cash flow statement</x:v>
      </x:c>
      <x:c r="D57" s="75"/>
      <x:c r="E57" s="75"/>
      <x:c r="F57" s="75"/>
      <x:c r="G57" s="115"/>
      <x:c r="H57" s="116"/>
      <x:c r="I57" s="116"/>
      <x:c r="J57" s="116"/>
      <x:c r="K57" s="116"/>
    </x:row>
    <x:row r="58">
      <x:c r="A58" s="71"/>
      <x:c r="B58" s="71"/>
      <x:c r="C58" s="71" t="str">
        <x:v>Profit for the year</x:v>
      </x:c>
      <x:c r="D58" s="101" t="n">
        <x:f>'Historicals'!D53</x:f>
        <x:v>4166</x:v>
      </x:c>
      <x:c r="E58" s="101" t="n">
        <x:f>'Historicals'!E53</x:f>
        <x:v>2538</x:v>
      </x:c>
      <x:c r="F58" s="101" t="n">
        <x:f>'Historicals'!F53</x:f>
        <x:v>1958</x:v>
      </x:c>
      <x:c r="G58" s="106" t="n">
        <x:f>G24</x:f>
        <x:v>2281.5453824999995</x:v>
      </x:c>
      <x:c r="H58" s="107" t="n">
        <x:f>H24</x:f>
        <x:v>2877.1548988125005</x:v>
      </x:c>
      <x:c r="I58" s="107" t="n">
        <x:f>I24</x:f>
        <x:v>3271.855143683714</x:v>
      </x:c>
      <x:c r="J58" s="107" t="n">
        <x:f>J24</x:f>
        <x:v>3552.0516458717175</x:v>
      </x:c>
      <x:c r="K58" s="107" t="n">
        <x:f>K24</x:f>
        <x:v>3766.209513703895</x:v>
      </x:c>
    </x:row>
    <x:row r="59">
      <x:c r="A59" s="71"/>
      <x:c r="B59" s="71"/>
      <x:c r="C59" s="71" t="str">
        <x:v>Depreciation and amortisation</x:v>
      </x:c>
      <x:c r="D59" s="101" t="n">
        <x:f>'Historicals'!D54</x:f>
        <x:v>493</x:v>
      </x:c>
      <x:c r="E59" s="101" t="n">
        <x:f>'Historicals'!E54</x:f>
        <x:v>1718</x:v>
      </x:c>
      <x:c r="F59" s="101" t="n">
        <x:f>'Historicals'!F54</x:f>
        <x:v>2480</x:v>
      </x:c>
      <x:c r="G59" s="106" t="n">
        <x:f>G15+G16</x:f>
        <x:v>812.115</x:v>
      </x:c>
      <x:c r="H59" s="107" t="n">
        <x:f>H15+H16</x:f>
        <x:v>848.00071045</x:v>
      </x:c>
      <x:c r="I59" s="107" t="n">
        <x:f>I15+I16</x:f>
        <x:v>883.0299863753501</x:v>
      </x:c>
      <x:c r="J59" s="107" t="n">
        <x:f>J15+J16</x:f>
        <x:v>918.001407896799</x:v>
      </x:c>
      <x:c r="K59" s="107" t="n">
        <x:f>K15+K16</x:f>
        <x:v>953.4173049258006</x:v>
      </x:c>
    </x:row>
    <x:row r="60">
      <x:c r="A60" s="71"/>
      <x:c r="B60" s="71"/>
      <x:c r="C60" s="71" t="str">
        <x:v>Change in operating NWC</x:v>
      </x:c>
      <x:c r="D60" s="101" t="n">
        <x:f>'Historicals'!D55</x:f>
        <x:v>-768</x:v>
      </x:c>
      <x:c r="E60" s="101" t="n">
        <x:f>'Historicals'!E55</x:f>
        <x:v>-77</x:v>
      </x:c>
      <x:c r="F60" s="101" t="n">
        <x:f>'Historicals'!F55</x:f>
        <x:v>76</x:v>
      </x:c>
      <x:c r="G60" s="106" t="n">
        <x:f>-'Schedules'!G17</x:f>
        <x:v>-493.0291500000021</x:v>
      </x:c>
      <x:c r="H60" s="107" t="n">
        <x:f>-'Schedules'!H17</x:f>
        <x:v>161.50387140000294</x:v>
      </x:c>
      <x:c r="I60" s="107" t="n">
        <x:f>-'Schedules'!I17</x:f>
        <x:v>139.2997200539976</x:v>
      </x:c>
      <x:c r="J60" s="107" t="n">
        <x:f>-'Schedules'!J17</x:f>
        <x:v>112.35390757319965</x:v>
      </x:c>
      <x:c r="K60" s="107" t="n">
        <x:f>-'Schedules'!K17</x:f>
        <x:v>-7.478910739256207</x:v>
      </x:c>
    </x:row>
    <x:row r="61">
      <x:c r="A61" s="71"/>
      <x:c r="B61" s="71"/>
      <x:c r="C61" s="71" t="str">
        <x:v>Change in other non-current assets</x:v>
      </x:c>
      <x:c r="D61" s="101"/>
      <x:c r="E61" s="101"/>
      <x:c r="F61" s="101"/>
      <x:c r="G61" s="106" t="n">
        <x:f>-(G34-F34)</x:f>
        <x:v>432.46050000000014</x:v>
      </x:c>
      <x:c r="H61" s="107" t="n">
        <x:f>-(H34-G34)</x:f>
        <x:v>-39.401598999999806</x:v>
      </x:c>
      <x:c r="I61" s="107" t="n">
        <x:f>-(I34-H34)</x:f>
        <x:v>-98.52492384000107</x:v>
      </x:c>
      <x:c r="J61" s="107" t="n">
        <x:f>-(J34-I34)</x:f>
        <x:v>-134.26524638430055</x:v>
      </x:c>
      <x:c r="K61" s="107" t="n">
        <x:f>-(K34-J34)</x:f>
        <x:v>-135.59573313040255</x:v>
      </x:c>
    </x:row>
    <x:row r="62">
      <x:c r="A62" s="71"/>
      <x:c r="B62" s="71"/>
      <x:c r="C62" s="102" t="str">
        <x:v>Net cash from operating activities</x:v>
      </x:c>
      <x:c r="D62" s="103" t="n">
        <x:f>'Historicals'!D57</x:f>
        <x:v>4105</x:v>
      </x:c>
      <x:c r="E62" s="103" t="n">
        <x:f>'Historicals'!E57</x:f>
        <x:v>4297</x:v>
      </x:c>
      <x:c r="F62" s="103" t="n">
        <x:f>'Historicals'!F57</x:f>
        <x:v>4392</x:v>
      </x:c>
      <x:c r="G62" s="109" t="n">
        <x:f>SUM(G58:G61)</x:f>
        <x:v>3033.0917324999973</x:v>
      </x:c>
      <x:c r="H62" s="110" t="n">
        <x:f>SUM(H58:H61)</x:f>
        <x:v>3847.2578816625037</x:v>
      </x:c>
      <x:c r="I62" s="110" t="n">
        <x:f>SUM(I58:I61)</x:f>
        <x:v>4195.659926273061</x:v>
      </x:c>
      <x:c r="J62" s="110" t="n">
        <x:f>SUM(J58:J61)</x:f>
        <x:v>4448.141714957415</x:v>
      </x:c>
      <x:c r="K62" s="110" t="n">
        <x:f>SUM(K58:K61)</x:f>
        <x:v>4576.552174760037</x:v>
      </x:c>
    </x:row>
    <x:row r="63">
      <x:c r="A63" s="71"/>
      <x:c r="B63" s="71"/>
      <x:c r="C63" s="71"/>
      <x:c r="D63" s="101"/>
      <x:c r="E63" s="101"/>
      <x:c r="F63" s="101"/>
      <x:c r="G63" s="106"/>
      <x:c r="H63" s="107"/>
      <x:c r="I63" s="107"/>
      <x:c r="J63" s="107"/>
      <x:c r="K63" s="107"/>
    </x:row>
    <x:row r="64">
      <x:c r="A64" s="71"/>
      <x:c r="B64" s="71"/>
      <x:c r="C64" s="71" t="str">
        <x:v>Capital expenditure</x:v>
      </x:c>
      <x:c r="D64" s="101"/>
      <x:c r="E64" s="101"/>
      <x:c r="F64" s="101"/>
      <x:c r="G64" s="106" t="n">
        <x:f>-'Schedules'!G23</x:f>
        <x:v>-1170.7782</x:v>
      </x:c>
      <x:c r="H64" s="107" t="n">
        <x:f>-'Schedules'!H23</x:f>
        <x:v>-1194.598452</x:v>
      </x:c>
      <x:c r="I64" s="107" t="n">
        <x:f>-'Schedules'!I23</x:f>
        <x:v>-1229.55282756</x:v>
      </x:c>
      <x:c r="J64" s="107" t="n">
        <x:f>-'Schedules'!J23</x:f>
        <x:v>-1271.9518691148003</x:v>
      </x:c>
      <x:c r="K64" s="107" t="n">
        <x:f>-'Schedules'!K23</x:f>
        <x:v>-1315.8776367917642</x:v>
      </x:c>
    </x:row>
    <x:row r="65">
      <x:c r="A65" s="71"/>
      <x:c r="B65" s="71"/>
      <x:c r="C65" s="71" t="str">
        <x:v>Intangible additions</x:v>
      </x:c>
      <x:c r="D65" s="101"/>
      <x:c r="E65" s="101"/>
      <x:c r="F65" s="101"/>
      <x:c r="G65" s="106" t="n">
        <x:f>-'Schedules'!G28</x:f>
        <x:v>-97.56485</x:v>
      </x:c>
      <x:c r="H65" s="107" t="n">
        <x:f>-'Schedules'!H28</x:f>
        <x:v>-99.54987100000001</x:v>
      </x:c>
      <x:c r="I65" s="107" t="n">
        <x:f>-'Schedules'!I28</x:f>
        <x:v>-102.46273563000001</x:v>
      </x:c>
      <x:c r="J65" s="107" t="n">
        <x:f>-'Schedules'!J28</x:f>
        <x:v>-105.99598909290002</x:v>
      </x:c>
      <x:c r="K65" s="107" t="n">
        <x:f>-'Schedules'!K28</x:f>
        <x:v>-109.65646973264703</x:v>
      </x:c>
    </x:row>
    <x:row r="66">
      <x:c r="A66" s="71"/>
      <x:c r="B66" s="71"/>
      <x:c r="C66" s="102" t="str">
        <x:v>Net cash from investing activities</x:v>
      </x:c>
      <x:c r="D66" s="103" t="n">
        <x:f>'Historicals'!D60</x:f>
        <x:v>-1595</x:v>
      </x:c>
      <x:c r="E66" s="103" t="n">
        <x:f>'Historicals'!E60</x:f>
        <x:v>-1720</x:v>
      </x:c>
      <x:c r="F66" s="103" t="n">
        <x:f>'Historicals'!F60</x:f>
        <x:v>-982</x:v>
      </x:c>
      <x:c r="G66" s="109" t="n">
        <x:f>SUM(G64:G65)</x:f>
        <x:v>-1268.34305</x:v>
      </x:c>
      <x:c r="H66" s="110" t="n">
        <x:f>SUM(H64:H65)</x:f>
        <x:v>-1294.148323</x:v>
      </x:c>
      <x:c r="I66" s="110" t="n">
        <x:f>SUM(I64:I65)</x:f>
        <x:v>-1332.01556319</x:v>
      </x:c>
      <x:c r="J66" s="110" t="n">
        <x:f>SUM(J64:J65)</x:f>
        <x:v>-1377.9478582077004</x:v>
      </x:c>
      <x:c r="K66" s="110" t="n">
        <x:f>SUM(K64:K65)</x:f>
        <x:v>-1425.5341065244113</x:v>
      </x:c>
    </x:row>
    <x:row r="67">
      <x:c r="A67" s="71"/>
      <x:c r="B67" s="71"/>
      <x:c r="C67" s="71"/>
      <x:c r="D67" s="101"/>
      <x:c r="E67" s="101"/>
      <x:c r="F67" s="101"/>
      <x:c r="G67" s="106"/>
      <x:c r="H67" s="107"/>
      <x:c r="I67" s="107"/>
      <x:c r="J67" s="107"/>
      <x:c r="K67" s="107"/>
    </x:row>
    <x:row r="68">
      <x:c r="A68" s="71"/>
      <x:c r="B68" s="71"/>
      <x:c r="C68" s="71" t="str">
        <x:v>Debt repayment</x:v>
      </x:c>
      <x:c r="D68" s="101"/>
      <x:c r="E68" s="101"/>
      <x:c r="F68" s="101"/>
      <x:c r="G68" s="106" t="n">
        <x:f>-'Schedules'!G44</x:f>
        <x:v>-1075.55</x:v>
      </x:c>
      <x:c r="H68" s="107" t="n">
        <x:f>-'Schedules'!H44</x:f>
        <x:v>-1021.7725</x:v>
      </x:c>
      <x:c r="I68" s="107" t="n">
        <x:f>-'Schedules'!I44</x:f>
        <x:v>-989.2115977878126</x:v>
      </x:c>
      <x:c r="J68" s="107" t="n">
        <x:f>-'Schedules'!J44</x:f>
        <x:v>-960.5443096625895</x:v>
      </x:c>
      <x:c r="K68" s="107" t="n">
        <x:f>-'Schedules'!K44</x:f>
        <x:v>-931.356424430614</x:v>
      </x:c>
    </x:row>
    <x:row r="69">
      <x:c r="A69" s="71"/>
      <x:c r="B69" s="71"/>
      <x:c r="C69" s="71" t="str">
        <x:v>New borrowing / revolver draw</x:v>
      </x:c>
      <x:c r="D69" s="101"/>
      <x:c r="E69" s="101"/>
      <x:c r="F69" s="101"/>
      <x:c r="G69" s="106" t="n">
        <x:f>'Schedules'!G45</x:f>
        <x:v>0</x:v>
      </x:c>
      <x:c r="H69" s="107" t="n">
        <x:f>'Schedules'!H45</x:f>
        <x:v>370.5544557562487</x:v>
      </x:c>
      <x:c r="I69" s="107" t="n">
        <x:f>'Schedules'!I45</x:f>
        <x:v>415.8658352833519</x:v>
      </x:c>
      <x:c r="J69" s="107" t="n">
        <x:f>'Schedules'!J45</x:f>
        <x:v>376.7866050230766</x:v>
      </x:c>
      <x:c r="K69" s="107" t="n">
        <x:f>'Schedules'!K45</x:f>
        <x:v>416.6850157877133</x:v>
      </x:c>
    </x:row>
    <x:row r="70">
      <x:c r="A70" s="71"/>
      <x:c r="B70" s="71"/>
      <x:c r="C70" s="71" t="str">
        <x:v>Parent dividends</x:v>
      </x:c>
      <x:c r="D70" s="101"/>
      <x:c r="E70" s="101"/>
      <x:c r="F70" s="101"/>
      <x:c r="G70" s="106" t="n">
        <x:f>-'Schedules'!G55</x:f>
        <x:v>-1437.3735909749996</x:v>
      </x:c>
      <x:c r="H70" s="107" t="n">
        <x:f>-'Schedules'!H55</x:f>
        <x:v>-1812.607586251875</x:v>
      </x:c>
      <x:c r="I70" s="107" t="n">
        <x:f>-'Schedules'!I55</x:f>
        <x:v>-2061.2687405207394</x:v>
      </x:c>
      <x:c r="J70" s="107" t="n">
        <x:f>-'Schedules'!J55</x:f>
        <x:v>-2237.792536899182</x:v>
      </x:c>
      <x:c r="K70" s="107" t="n">
        <x:f>-'Schedules'!K55</x:f>
        <x:v>-2372.7119936334534</x:v>
      </x:c>
    </x:row>
    <x:row r="71">
      <x:c r="A71" s="71"/>
      <x:c r="B71" s="71"/>
      <x:c r="C71" s="71" t="str">
        <x:v>NCI dividends</x:v>
      </x:c>
      <x:c r="D71" s="101"/>
      <x:c r="E71" s="101"/>
      <x:c r="F71" s="101"/>
      <x:c r="G71" s="106" t="n">
        <x:f>-'Schedules'!G60</x:f>
        <x:v>-159.70817677499997</x:v>
      </x:c>
      <x:c r="H71" s="107" t="n">
        <x:f>-'Schedules'!H60</x:f>
        <x:v>-201.40084291687504</x:v>
      </x:c>
      <x:c r="I71" s="107" t="n">
        <x:f>-'Schedules'!I60</x:f>
        <x:v>-229.02986005785996</x:v>
      </x:c>
      <x:c r="J71" s="107" t="n">
        <x:f>-'Schedules'!J60</x:f>
        <x:v>-248.64361521102023</x:v>
      </x:c>
      <x:c r="K71" s="107" t="n">
        <x:f>-'Schedules'!K60</x:f>
        <x:v>-263.6346659592727</x:v>
      </x:c>
    </x:row>
    <x:row r="72">
      <x:c r="A72" s="71"/>
      <x:c r="B72" s="71"/>
      <x:c r="C72" s="102" t="str">
        <x:v>Net cash from financing activities</x:v>
      </x:c>
      <x:c r="D72" s="103" t="n">
        <x:f>'Historicals'!D65</x:f>
        <x:v>-3106</x:v>
      </x:c>
      <x:c r="E72" s="103" t="n">
        <x:f>'Historicals'!E65</x:f>
        <x:v>-1494</x:v>
      </x:c>
      <x:c r="F72" s="103" t="n">
        <x:f>'Historicals'!F65</x:f>
        <x:v>-3784</x:v>
      </x:c>
      <x:c r="G72" s="109" t="n">
        <x:f>SUM(G68:G71)</x:f>
        <x:v>-2672.6317677499997</x:v>
      </x:c>
      <x:c r="H72" s="110" t="n">
        <x:f>SUM(H68:H71)</x:f>
        <x:v>-2665.226473412502</x:v>
      </x:c>
      <x:c r="I72" s="110" t="n">
        <x:f>SUM(I68:I71)</x:f>
        <x:v>-2863.64436308306</x:v>
      </x:c>
      <x:c r="J72" s="110" t="n">
        <x:f>SUM(J68:J71)</x:f>
        <x:v>-3070.1938567497145</x:v>
      </x:c>
      <x:c r="K72" s="110" t="n">
        <x:f>SUM(K68:K71)</x:f>
        <x:v>-3151.0180682356267</x:v>
      </x:c>
    </x:row>
    <x:row r="73">
      <x:c r="A73" s="71"/>
      <x:c r="B73" s="71"/>
      <x:c r="C73" s="71"/>
      <x:c r="D73" s="101"/>
      <x:c r="E73" s="101"/>
      <x:c r="F73" s="101"/>
      <x:c r="G73" s="106"/>
      <x:c r="H73" s="107"/>
      <x:c r="I73" s="107"/>
      <x:c r="J73" s="107"/>
      <x:c r="K73" s="107"/>
    </x:row>
    <x:row r="74">
      <x:c r="A74" s="71"/>
      <x:c r="B74" s="71"/>
      <x:c r="C74" s="102" t="str">
        <x:v>Net change in cash</x:v>
      </x:c>
      <x:c r="D74" s="103" t="n">
        <x:f>'Historicals'!D66</x:f>
        <x:v>-596</x:v>
      </x:c>
      <x:c r="E74" s="103" t="n">
        <x:f>'Historicals'!E66</x:f>
        <x:v>1083</x:v>
      </x:c>
      <x:c r="F74" s="103" t="n">
        <x:f>'Historicals'!F66</x:f>
        <x:v>-374</x:v>
      </x:c>
      <x:c r="G74" s="109" t="n">
        <x:f>G62+G66+G72</x:f>
        <x:v>-907.8830852500023</x:v>
      </x:c>
      <x:c r="H74" s="110" t="n">
        <x:f>H62+H66+H72</x:f>
        <x:v>-112.11691474999816</x:v>
      </x:c>
      <x:c r="I74" s="110" t="n">
        <x:f>I62+I66+I72</x:f>
        <x:v>9.094947017729282e-13</x:v>
      </x:c>
      <x:c r="J74" s="110" t="n">
        <x:f>J62+J66+J72</x:f>
        <x:v>4.547473508864641e-13</x:v>
      </x:c>
      <x:c r="K74" s="110" t="n">
        <x:f>K62+K66+K72</x:f>
        <x:v>-9.094947017729282e-13</x:v>
      </x:c>
    </x:row>
    <x:row r="75">
      <x:c r="A75" s="71"/>
      <x:c r="B75" s="71"/>
      <x:c r="C75" s="71" t="str">
        <x:v>Opening cash</x:v>
      </x:c>
      <x:c r="D75" s="101"/>
      <x:c r="E75" s="101"/>
      <x:c r="F75" s="101"/>
      <x:c r="G75" s="106" t="n">
        <x:f>$F$38</x:f>
        <x:v>1520</x:v>
      </x:c>
      <x:c r="H75" s="107" t="n">
        <x:f>G78</x:f>
        <x:v>612.1169147499977</x:v>
      </x:c>
      <x:c r="I75" s="107" t="n">
        <x:f>H78</x:f>
        <x:v>499.99999999999955</x:v>
      </x:c>
      <x:c r="J75" s="107" t="n">
        <x:f>I78</x:f>
        <x:v>500.00000000000045</x:v>
      </x:c>
      <x:c r="K75" s="107" t="n">
        <x:f>J78</x:f>
        <x:v>500.0000000000009</x:v>
      </x:c>
    </x:row>
    <x:row r="76">
      <x:c r="A76" s="71"/>
      <x:c r="B76" s="71"/>
      <x:c r="C76" s="71" t="str">
        <x:v>Other cash/FX movement</x:v>
      </x:c>
      <x:c r="D76" s="101"/>
      <x:c r="E76" s="101"/>
      <x:c r="F76" s="101"/>
      <x:c r="G76" s="106" t="n">
        <x:f>0</x:f>
        <x:v>0</x:v>
      </x:c>
      <x:c r="H76" s="107" t="n">
        <x:f>0</x:f>
        <x:v>0</x:v>
      </x:c>
      <x:c r="I76" s="107" t="n">
        <x:f>0</x:f>
        <x:v>0</x:v>
      </x:c>
      <x:c r="J76" s="107" t="n">
        <x:f>0</x:f>
        <x:v>0</x:v>
      </x:c>
      <x:c r="K76" s="107" t="n">
        <x:f>0</x:f>
        <x:v>0</x:v>
      </x:c>
    </x:row>
    <x:row r="77">
      <x:c r="A77" s="71"/>
      <x:c r="B77" s="71"/>
      <x:c r="C77" s="71" t="str">
        <x:v>Cash before new borrowing</x:v>
      </x:c>
      <x:c r="D77" s="101"/>
      <x:c r="E77" s="101"/>
      <x:c r="F77" s="101"/>
      <x:c r="G77" s="106" t="n">
        <x:f>G75+G62+G66+G68+G70+G71+G76</x:f>
        <x:v>612.116914749998</x:v>
      </x:c>
      <x:c r="H77" s="107" t="n">
        <x:f>H75+H62+H66+H68+H70+H71+H76</x:f>
        <x:v>129.44554424375133</x:v>
      </x:c>
      <x:c r="I77" s="107" t="n">
        <x:f>I75+I62+I66+I68+I70+I71+I76</x:f>
        <x:v>84.13416471664814</x:v>
      </x:c>
      <x:c r="J77" s="107" t="n">
        <x:f>J75+J62+J66+J68+J70+J71+J76</x:f>
        <x:v>123.21339497692338</x:v>
      </x:c>
      <x:c r="K77" s="107" t="n">
        <x:f>K75+K62+K66+K68+K70+K71+K76</x:f>
        <x:v>83.31498421228667</x:v>
      </x:c>
    </x:row>
    <x:row r="78">
      <x:c r="A78" s="71"/>
      <x:c r="B78" s="71"/>
      <x:c r="C78" s="102" t="str">
        <x:v>Closing cash</x:v>
      </x:c>
      <x:c r="D78" s="103" t="n">
        <x:f>'Historicals'!D69</x:f>
        <x:v>1109</x:v>
      </x:c>
      <x:c r="E78" s="103" t="n">
        <x:f>'Historicals'!E69</x:f>
        <x:v>2178</x:v>
      </x:c>
      <x:c r="F78" s="103" t="n">
        <x:f>'Historicals'!F69</x:f>
        <x:v>1494</x:v>
      </x:c>
      <x:c r="G78" s="109" t="n">
        <x:f>G75+G74+G76</x:f>
        <x:v>612.1169147499977</x:v>
      </x:c>
      <x:c r="H78" s="110" t="n">
        <x:f>H75+H74+H76</x:f>
        <x:v>499.99999999999955</x:v>
      </x:c>
      <x:c r="I78" s="110" t="n">
        <x:f>I75+I74+I76</x:f>
        <x:v>500.00000000000045</x:v>
      </x:c>
      <x:c r="J78" s="110" t="n">
        <x:f>J75+J74+J76</x:f>
        <x:v>500.0000000000009</x:v>
      </x:c>
      <x:c r="K78" s="110" t="n">
        <x:f>K75+K74+K76</x:f>
        <x:v>500</x:v>
      </x:c>
    </x:row>
    <x:row r="79">
      <x:c r="A79" s="71"/>
      <x:c r="B79" s="71"/>
      <x:c r="C79" s="71"/>
      <x:c r="D79" s="71"/>
      <x:c r="E79" s="71"/>
      <x:c r="F79" s="71"/>
      <x:c r="G79" s="113"/>
      <x:c r="H79" s="114"/>
      <x:c r="I79" s="114"/>
      <x:c r="J79" s="114"/>
      <x:c r="K79" s="114"/>
    </x:row>
    <x:row r="80">
      <x:c r="A80" s="71"/>
      <x:c r="B80" s="71"/>
      <x:c r="C80" s="71"/>
      <x:c r="D80" s="71"/>
      <x:c r="E80" s="71"/>
      <x:c r="F80" s="71"/>
      <x:c r="G80" s="113"/>
      <x:c r="H80" s="114"/>
      <x:c r="I80" s="114"/>
      <x:c r="J80" s="114"/>
      <x:c r="K80" s="114"/>
    </x:row>
    <x:row r="81">
      <x:c r="A81" s="71"/>
      <x:c r="B81" s="71"/>
      <x:c r="C81" s="71"/>
      <x:c r="D81" s="71"/>
      <x:c r="E81" s="71"/>
      <x:c r="F81" s="71"/>
      <x:c r="G81" s="113"/>
      <x:c r="H81" s="114"/>
      <x:c r="I81" s="114"/>
      <x:c r="J81" s="114"/>
      <x:c r="K81" s="114"/>
    </x:row>
    <x:row r="82">
      <x:c r="A82" s="71"/>
      <x:c r="B82" s="71"/>
      <x:c r="C82" s="75" t="str">
        <x:v>Key ratios</x:v>
      </x:c>
      <x:c r="D82" s="75"/>
      <x:c r="E82" s="75"/>
      <x:c r="F82" s="75"/>
      <x:c r="G82" s="115"/>
      <x:c r="H82" s="116"/>
      <x:c r="I82" s="116"/>
      <x:c r="J82" s="116"/>
      <x:c r="K82" s="116"/>
    </x:row>
    <x:row r="83">
      <x:c r="A83" s="71"/>
      <x:c r="B83" s="71"/>
      <x:c r="C83" s="71" t="str">
        <x:v>Net sales growth</x:v>
      </x:c>
      <x:c r="D83" s="92"/>
      <x:c r="E83" s="92" t="n">
        <x:f>E9/D9-1</x:f>
        <x:v>-0.0011840742019832984</x:v>
      </x:c>
      <x:c r="F83" s="92" t="n">
        <x:f>F9/E9-1</x:f>
        <x:v>-0.029735737219066416</x:v>
      </x:c>
      <x:c r="G83" s="117" t="n">
        <x:f>G9/F9-1</x:f>
        <x:v>-0.006619660947920325</x:v>
      </x:c>
      <x:c r="H83" s="118" t="n">
        <x:f>H9/G9-1</x:f>
        <x:v>0.02034565727308557</x:v>
      </x:c>
      <x:c r="I83" s="118" t="n">
        <x:f>I9/H9-1</x:f>
        <x:v>0.029260355646266945</x:v>
      </x:c>
      <x:c r="J83" s="118" t="n">
        <x:f>J9/I9-1</x:f>
        <x:v>0.03448330206270134</x:v>
      </x:c>
      <x:c r="K83" s="118" t="n">
        <x:f>K9/J9-1</x:f>
        <x:v>0.03453414295269974</x:v>
      </x:c>
    </x:row>
    <x:row r="84">
      <x:c r="A84" s="71"/>
      <x:c r="B84" s="71"/>
      <x:c r="C84" s="71" t="str">
        <x:v>Adjusted EBITDA margin</x:v>
      </x:c>
      <x:c r="D84" s="92" t="n">
        <x:f>D14/D9</x:f>
        <x:v>0.31762790468202673</x:v>
      </x:c>
      <x:c r="E84" s="92" t="n">
        <x:f>E14/E9</x:f>
        <x:v>0.3666090392689553</x:v>
      </x:c>
      <x:c r="F84" s="92" t="n">
        <x:f>F14/F9</x:f>
        <x:v>0.41556788677900525</x:v>
      </x:c>
      <x:c r="G84" s="117" t="n">
        <x:f>G14/G9</x:f>
        <x:v>0.2829999999999999</x:v>
      </x:c>
      <x:c r="H84" s="118" t="n">
        <x:f>H14/H9</x:f>
        <x:v>0.29100000000000004</x:v>
      </x:c>
      <x:c r="I84" s="118" t="n">
        <x:f>I14/I9</x:f>
        <x:v>0.29599999999999993</x:v>
      </x:c>
      <x:c r="J84" s="118" t="n">
        <x:f>J14/J9</x:f>
        <x:v>0.29899999999999993</x:v>
      </x:c>
      <x:c r="K84" s="118" t="n">
        <x:f>K14/K9</x:f>
        <x:v>0.30199999999999994</x:v>
      </x:c>
    </x:row>
    <x:row r="85">
      <x:c r="A85" s="71"/>
      <x:c r="B85" s="71"/>
      <x:c r="C85" s="71" t="str">
        <x:v>Free cash flow</x:v>
      </x:c>
      <x:c r="D85" s="101" t="n">
        <x:f>D62+D64</x:f>
        <x:v>4105</x:v>
      </x:c>
      <x:c r="E85" s="101" t="n">
        <x:f>E62+E64</x:f>
        <x:v>4297</x:v>
      </x:c>
      <x:c r="F85" s="101" t="n">
        <x:f>F62+F64</x:f>
        <x:v>4392</x:v>
      </x:c>
      <x:c r="G85" s="106" t="n">
        <x:f>G62+G64</x:f>
        <x:v>1862.3135324999973</x:v>
      </x:c>
      <x:c r="H85" s="107" t="n">
        <x:f>H62+H64</x:f>
        <x:v>2652.6594296625035</x:v>
      </x:c>
      <x:c r="I85" s="107" t="n">
        <x:f>I62+I64</x:f>
        <x:v>2966.1070987130606</x:v>
      </x:c>
      <x:c r="J85" s="107" t="n">
        <x:f>J62+J64</x:f>
        <x:v>3176.189845842615</x:v>
      </x:c>
      <x:c r="K85" s="107" t="n">
        <x:f>K62+K64</x:f>
        <x:v>3260.6745379682725</x:v>
      </x:c>
    </x:row>
    <x:row r="86">
      <x:c r="A86" s="71"/>
      <x:c r="B86" s="71"/>
      <x:c r="C86" s="71" t="str">
        <x:v>Net debt</x:v>
      </x:c>
      <x:c r="D86" s="101" t="n">
        <x:f>D41-D38</x:f>
        <x:v>20371</x:v>
      </x:c>
      <x:c r="E86" s="101" t="n">
        <x:f>E41-E38</x:f>
        <x:v>21548</x:v>
      </x:c>
      <x:c r="F86" s="101" t="n">
        <x:f>F41-F38</x:f>
        <x:v>19991</x:v>
      </x:c>
      <x:c r="G86" s="106" t="n">
        <x:f>G41-G38</x:f>
        <x:v>19823.333085250004</x:v>
      </x:c>
      <x:c r="H86" s="107" t="n">
        <x:f>H41-H38</x:f>
        <x:v>19284.23195575625</x:v>
      </x:c>
      <x:c r="I86" s="107" t="n">
        <x:f>I41-I38</x:f>
        <x:v>18710.88619325179</x:v>
      </x:c>
      <x:c r="J86" s="107" t="n">
        <x:f>J41-J38</x:f>
        <x:v>18127.128488612278</x:v>
      </x:c>
      <x:c r="K86" s="107" t="n">
        <x:f>K41-K38</x:f>
        <x:v>17612.457079969376</x:v>
      </x:c>
    </x:row>
    <x:row r="87">
      <x:c r="A87" s="71"/>
      <x:c r="B87" s="71"/>
      <x:c r="C87" s="71" t="str">
        <x:v>Net debt / adjusted EBITDA</x:v>
      </x:c>
      <x:c r="D87" s="119" t="n">
        <x:f>D86/D14</x:f>
        <x:v>3.1641814228021126</x:v>
      </x:c>
      <x:c r="E87" s="119" t="n">
        <x:f>E86/E14</x:f>
        <x:v>2.903260576663972</x:v>
      </x:c>
      <x:c r="F87" s="119" t="n">
        <x:f>F86/F14</x:f>
        <x:v>2.448977091755482</x:v>
      </x:c>
      <x:c r="G87" s="120" t="n">
        <x:f>G86/G14</x:f>
        <x:v>3.589772001670772</x:v>
      </x:c>
      <x:c r="H87" s="121" t="n">
        <x:f>H86/H14</x:f>
        <x:v>3.3284241189992163</x:v>
      </x:c>
      <x:c r="I87" s="121" t="n">
        <x:f>I86/I14</x:f>
        <x:v>3.0846557515234077</x:v>
      </x:c>
      <x:c r="J87" s="121" t="n">
        <x:f>J86/J14</x:f>
        <x:v>2.859818013248856</x:v>
      </x:c>
      <x:c r="K87" s="121" t="n">
        <x:f>K86/K14</x:f>
        <x:v>2.659186204276074</x:v>
      </x:c>
    </x:row>
    <x:row r="88">
      <x:c r="A88" s="71"/>
      <x:c r="B88" s="71"/>
      <x:c r="C88" s="71" t="str">
        <x:v>Interest coverage</x:v>
      </x:c>
      <x:c r="D88" s="119" t="n">
        <x:f>D14/D20</x:f>
        <x:v>7.274576271186441</x:v>
      </x:c>
      <x:c r="E88" s="119" t="n">
        <x:f>E14/E20</x:f>
        <x:v>9.626459143968871</x:v>
      </x:c>
      <x:c r="F88" s="119" t="n">
        <x:f>F14/F20</x:f>
        <x:v>10.003676470588236</x:v>
      </x:c>
      <x:c r="G88" s="120" t="n">
        <x:f>G14/G20</x:f>
        <x:v>5.7047510679290685</x:v>
      </x:c>
      <x:c r="H88" s="121" t="n">
        <x:f>H14/H20</x:f>
        <x:v>6.300383230774627</x:v>
      </x:c>
      <x:c r="I88" s="121" t="n">
        <x:f>I14/I20</x:f>
        <x:v>6.81327541028186</x:v>
      </x:c>
      <x:c r="J88" s="121" t="n">
        <x:f>J14/J20</x:f>
        <x:v>7.332139223323361</x:v>
      </x:c>
      <x:c r="K88" s="121" t="n">
        <x:f>K14/K20</x:f>
        <x:v>7.90155877088506</x:v>
      </x:c>
    </x:row>
    <x:row r="89">
      <x:c r="A89" s="71"/>
      <x:c r="B89" s="71"/>
      <x:c r="C89" s="71"/>
      <x:c r="D89" s="71"/>
      <x:c r="E89" s="71"/>
      <x:c r="F89" s="71"/>
      <x:c r="G89" s="71"/>
      <x:c r="H89" s="71"/>
      <x:c r="I89" s="71"/>
      <x:c r="J89" s="71"/>
      <x:c r="K89" s="71"/>
    </x:row>
    <x:row r="90">
      <x:c r="A90" s="71"/>
      <x:c r="B90" s="71"/>
      <x:c r="C90" s="71"/>
      <x:c r="D90" s="71"/>
      <x:c r="E90" s="71"/>
      <x:c r="F90" s="71"/>
      <x:c r="G90" s="71"/>
      <x:c r="H90" s="71"/>
      <x:c r="I90" s="71"/>
      <x:c r="J90" s="71"/>
      <x:c r="K90" s="71"/>
    </x:row>
    <x:row r="91">
      <x:c r="A91" s="71"/>
      <x:c r="B91" s="71"/>
      <x:c r="C91" s="71"/>
      <x:c r="D91" s="71"/>
      <x:c r="E91" s="71"/>
      <x:c r="F91" s="71"/>
      <x:c r="G91" s="71"/>
      <x:c r="H91" s="71"/>
      <x:c r="I91" s="71"/>
      <x:c r="J91" s="71"/>
      <x:c r="K91" s="71"/>
    </x:row>
    <x:row r="92">
      <x:c r="A92" s="71"/>
      <x:c r="B92" s="71"/>
      <x:c r="C92" s="71"/>
      <x:c r="D92" s="71"/>
      <x:c r="E92" s="71"/>
      <x:c r="F92" s="71"/>
      <x:c r="G92" s="71"/>
      <x:c r="H92" s="71"/>
      <x:c r="I92" s="71"/>
      <x:c r="J92" s="71"/>
      <x:c r="K92" s="7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A6A6A6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4" hidden="0" customWidth="1"/>
    <x:col min="4" max="4" width="26" hidden="0" customWidth="1"/>
    <x:col min="5" max="5" width="26" hidden="0" customWidth="1"/>
    <x:col min="6" max="6" width="26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71"/>
      <x:c r="B1" s="71"/>
      <x:c r="C1" s="79"/>
      <x:c r="D1" s="71"/>
      <x:c r="E1" s="71"/>
      <x:c r="F1" s="71"/>
      <x:c r="G1" s="71"/>
      <x:c r="H1" s="71"/>
      <x:c r="I1" s="71"/>
      <x:c r="J1" s="71"/>
      <x:c r="K1" s="71"/>
    </x:row>
    <x:row r="2">
      <x:c r="A2" s="71"/>
      <x:c r="B2" s="71"/>
      <x:c r="C2" s="72" t="str">
        <x:v>Scenario comparison</x:v>
      </x:c>
      <x:c r="D2" s="71"/>
      <x:c r="E2" s="71"/>
      <x:c r="F2" s="71"/>
      <x:c r="G2" s="71"/>
      <x:c r="H2" s="71"/>
      <x:c r="I2" s="71"/>
      <x:c r="J2" s="71"/>
      <x:c r="K2" s="71"/>
    </x:row>
    <x:row r="3">
      <x:c r="A3" s="71"/>
      <x:c r="B3" s="71"/>
      <x:c r="C3" s="73" t="str">
        <x:v>Operating assumptions and active-case outputs | US$ millions</x:v>
      </x:c>
      <x:c r="D3" s="73"/>
      <x:c r="E3" s="73"/>
      <x:c r="F3" s="73"/>
      <x:c r="G3" s="73"/>
      <x:c r="H3" s="73"/>
      <x:c r="I3" s="73"/>
      <x:c r="J3" s="73"/>
      <x:c r="K3" s="73"/>
    </x:row>
    <x:row r="4">
      <x:c r="A4" s="71"/>
      <x:c r="B4" s="71"/>
      <x:c r="C4" s="74"/>
      <x:c r="D4" s="74"/>
      <x:c r="E4" s="74"/>
      <x:c r="F4" s="74"/>
      <x:c r="G4" s="74"/>
      <x:c r="H4" s="74"/>
      <x:c r="I4" s="74"/>
      <x:c r="J4" s="74"/>
      <x:c r="K4" s="74"/>
    </x:row>
    <x:row r="5">
      <x:c r="A5" s="71"/>
      <x:c r="B5" s="71"/>
      <x:c r="C5" s="71"/>
      <x:c r="D5" s="71"/>
      <x:c r="E5" s="71"/>
      <x:c r="F5" s="71"/>
      <x:c r="G5" s="71"/>
      <x:c r="H5" s="71"/>
      <x:c r="I5" s="71"/>
      <x:c r="J5" s="71"/>
      <x:c r="K5" s="71"/>
    </x:row>
    <x:row r="6">
      <x:c r="A6" s="71"/>
      <x:c r="B6" s="71"/>
      <x:c r="C6" s="71"/>
      <x:c r="D6" s="71"/>
      <x:c r="E6" s="71"/>
      <x:c r="F6" s="71"/>
      <x:c r="G6" s="71"/>
      <x:c r="H6" s="71"/>
      <x:c r="I6" s="71"/>
      <x:c r="J6" s="71"/>
      <x:c r="K6" s="71"/>
    </x:row>
    <x:row r="7">
      <x:c r="A7" s="71"/>
      <x:c r="B7" s="71"/>
      <x:c r="C7" s="75" t="str">
        <x:v>Scenario definitions</x:v>
      </x:c>
      <x:c r="D7" s="75"/>
      <x:c r="E7" s="75"/>
      <x:c r="F7" s="75"/>
      <x:c r="G7" s="75"/>
      <x:c r="H7" s="75"/>
      <x:c r="I7" s="75"/>
      <x:c r="J7" s="75"/>
      <x:c r="K7" s="75"/>
    </x:row>
    <x:row r="8">
      <x:c r="A8" s="71"/>
      <x:c r="B8" s="71"/>
      <x:c r="C8" s="87" t="str">
        <x:v>Case</x:v>
      </x:c>
      <x:c r="D8" s="87" t="str">
        <x:v>Revenue</x:v>
      </x:c>
      <x:c r="E8" s="87" t="str">
        <x:v>Margins</x:v>
      </x:c>
      <x:c r="F8" s="87" t="str">
        <x:v>Cash and leverage</x:v>
      </x:c>
      <x:c r="G8" s="71"/>
      <x:c r="H8" s="71"/>
      <x:c r="I8" s="71"/>
      <x:c r="J8" s="71"/>
      <x:c r="K8" s="71"/>
    </x:row>
    <x:row r="9">
      <x:c r="A9" s="71"/>
      <x:c r="B9" s="71"/>
      <x:c r="C9" s="79" t="str">
        <x:v>Downside</x:v>
      </x:c>
      <x:c r="D9" s="79" t="str">
        <x:v>Prolonged North America and Asia weakness</x:v>
      </x:c>
      <x:c r="E9" s="79" t="str">
        <x:v>Margin pressure; delayed savings</x:v>
      </x:c>
      <x:c r="F9" s="79" t="str">
        <x:v>Higher working capital and slower debt repayment</x:v>
      </x:c>
      <x:c r="G9" s="71"/>
      <x:c r="H9" s="71"/>
      <x:c r="I9" s="71"/>
      <x:c r="J9" s="71"/>
      <x:c r="K9" s="71"/>
    </x:row>
    <x:row r="10">
      <x:c r="A10" s="71"/>
      <x:c r="B10" s="71"/>
      <x:c r="C10" s="79" t="str">
        <x:v>Base</x:v>
      </x:c>
      <x:c r="D10" s="79" t="str">
        <x:v>FY2027 broadly flat, then gradual recovery</x:v>
      </x:c>
      <x:c r="E10" s="79" t="str">
        <x:v>Savings support measured expansion</x:v>
      </x:c>
      <x:c r="F10" s="79" t="str">
        <x:v>Progressive debt repayment</x:v>
      </x:c>
      <x:c r="G10" s="71"/>
      <x:c r="H10" s="71"/>
      <x:c r="I10" s="71"/>
      <x:c r="J10" s="71"/>
      <x:c r="K10" s="71"/>
    </x:row>
    <x:row r="11">
      <x:c r="A11" s="71"/>
      <x:c r="B11" s="71"/>
      <x:c r="C11" s="79" t="str">
        <x:v>Upside</x:v>
      </x:c>
      <x:c r="D11" s="79" t="str">
        <x:v>Faster regional recovery</x:v>
      </x:c>
      <x:c r="E11" s="79" t="str">
        <x:v>Stronger mix and execution</x:v>
      </x:c>
      <x:c r="F11" s="79" t="str">
        <x:v>Better conversion and faster deleveraging</x:v>
      </x:c>
      <x:c r="G11" s="71"/>
      <x:c r="H11" s="71"/>
      <x:c r="I11" s="71"/>
      <x:c r="J11" s="71"/>
      <x:c r="K11" s="71"/>
    </x:row>
    <x:row r="12">
      <x:c r="A12" s="71"/>
      <x:c r="B12" s="71"/>
      <x:c r="C12" s="71"/>
      <x:c r="D12" s="71"/>
      <x:c r="E12" s="71"/>
      <x:c r="F12" s="71"/>
      <x:c r="G12" s="71"/>
      <x:c r="H12" s="71"/>
      <x:c r="I12" s="71"/>
      <x:c r="J12" s="71"/>
      <x:c r="K12" s="71"/>
    </x:row>
    <x:row r="13">
      <x:c r="A13" s="71"/>
      <x:c r="B13" s="71"/>
      <x:c r="C13" s="71"/>
      <x:c r="D13" s="71"/>
      <x:c r="E13" s="71"/>
      <x:c r="F13" s="71"/>
      <x:c r="G13" s="71"/>
      <x:c r="H13" s="71"/>
      <x:c r="I13" s="71"/>
      <x:c r="J13" s="71"/>
      <x:c r="K13" s="71"/>
    </x:row>
    <x:row r="14">
      <x:c r="A14" s="71"/>
      <x:c r="B14" s="71"/>
      <x:c r="C14" s="75" t="str">
        <x:v>Active scenario outputs</x:v>
      </x:c>
      <x:c r="D14" s="75"/>
      <x:c r="E14" s="75"/>
      <x:c r="F14" s="75"/>
      <x:c r="G14" s="75"/>
      <x:c r="H14" s="75"/>
      <x:c r="I14" s="75"/>
      <x:c r="J14" s="75"/>
      <x:c r="K14" s="75"/>
    </x:row>
    <x:row r="15">
      <x:c r="A15" s="71"/>
      <x:c r="B15" s="71"/>
      <x:c r="C15" s="71"/>
      <x:c r="D15" s="87" t="str">
        <x:v>FY:27E</x:v>
      </x:c>
      <x:c r="E15" s="87" t="str">
        <x:v>FY:28E</x:v>
      </x:c>
      <x:c r="F15" s="87" t="str">
        <x:v>FY:29E</x:v>
      </x:c>
      <x:c r="G15" s="87" t="str">
        <x:v>FY:30E</x:v>
      </x:c>
      <x:c r="H15" s="87" t="str">
        <x:v>FY:31E</x:v>
      </x:c>
      <x:c r="I15" s="71"/>
      <x:c r="J15" s="71"/>
      <x:c r="K15" s="71"/>
    </x:row>
    <x:row r="16">
      <x:c r="A16" s="71"/>
      <x:c r="B16" s="71"/>
      <x:c r="C16" s="71" t="str">
        <x:v>Net sales</x:v>
      </x:c>
      <x:c r="D16" s="101" t="n">
        <x:f>'Three Statements'!G9</x:f>
        <x:v>19512.97</x:v>
      </x:c>
      <x:c r="E16" s="101" t="n">
        <x:f>'Three Statements'!H9</x:f>
        <x:v>19909.9742</x:v>
      </x:c>
      <x:c r="F16" s="101" t="n">
        <x:f>'Three Statements'!I9</x:f>
        <x:v>20492.547126</x:v>
      </x:c>
      <x:c r="G16" s="101" t="n">
        <x:f>'Three Statements'!J9</x:f>
        <x:v>21199.197818580004</x:v>
      </x:c>
      <x:c r="H16" s="101" t="n">
        <x:f>'Three Statements'!K9</x:f>
        <x:v>21931.293946529404</x:v>
      </x:c>
      <x:c r="I16" s="71"/>
      <x:c r="J16" s="71"/>
      <x:c r="K16" s="71"/>
    </x:row>
    <x:row r="17">
      <x:c r="A17" s="71"/>
      <x:c r="B17" s="71"/>
      <x:c r="C17" s="71" t="str">
        <x:v>Adjusted EBITDA</x:v>
      </x:c>
      <x:c r="D17" s="101" t="n">
        <x:f>'Three Statements'!G14</x:f>
        <x:v>5522.170509999999</x:v>
      </x:c>
      <x:c r="E17" s="101" t="n">
        <x:f>'Three Statements'!H14</x:f>
        <x:v>5793.8024922</x:v>
      </x:c>
      <x:c r="F17" s="101" t="n">
        <x:f>'Three Statements'!I14</x:f>
        <x:v>6065.7939492959995</x:v>
      </x:c>
      <x:c r="G17" s="101" t="n">
        <x:f>'Three Statements'!J14</x:f>
        <x:v>6338.560147755419</x:v>
      </x:c>
      <x:c r="H17" s="101" t="n">
        <x:f>'Three Statements'!K14</x:f>
        <x:v>6623.250771851879</x:v>
      </x:c>
      <x:c r="I17" s="71"/>
      <x:c r="J17" s="71"/>
      <x:c r="K17" s="71"/>
    </x:row>
    <x:row r="18">
      <x:c r="A18" s="71"/>
      <x:c r="B18" s="71"/>
      <x:c r="C18" s="71" t="str">
        <x:v>Adjusted EBITDA margin</x:v>
      </x:c>
      <x:c r="D18" s="92" t="n">
        <x:f>'Three Statements'!G84</x:f>
        <x:v>0.2829999999999999</x:v>
      </x:c>
      <x:c r="E18" s="92" t="n">
        <x:f>'Three Statements'!H84</x:f>
        <x:v>0.29100000000000004</x:v>
      </x:c>
      <x:c r="F18" s="92" t="n">
        <x:f>'Three Statements'!I84</x:f>
        <x:v>0.29599999999999993</x:v>
      </x:c>
      <x:c r="G18" s="92" t="n">
        <x:f>'Three Statements'!J84</x:f>
        <x:v>0.29899999999999993</x:v>
      </x:c>
      <x:c r="H18" s="92" t="n">
        <x:f>'Three Statements'!K84</x:f>
        <x:v>0.30199999999999994</x:v>
      </x:c>
      <x:c r="I18" s="71"/>
      <x:c r="J18" s="71"/>
      <x:c r="K18" s="71"/>
    </x:row>
    <x:row r="19">
      <x:c r="A19" s="71"/>
      <x:c r="B19" s="71"/>
      <x:c r="C19" s="71" t="str">
        <x:v>Profit for the year</x:v>
      </x:c>
      <x:c r="D19" s="101" t="n">
        <x:f>'Three Statements'!G24</x:f>
        <x:v>2281.5453824999995</x:v>
      </x:c>
      <x:c r="E19" s="101" t="n">
        <x:f>'Three Statements'!H24</x:f>
        <x:v>2877.1548988125005</x:v>
      </x:c>
      <x:c r="F19" s="101" t="n">
        <x:f>'Three Statements'!I24</x:f>
        <x:v>3271.855143683714</x:v>
      </x:c>
      <x:c r="G19" s="101" t="n">
        <x:f>'Three Statements'!J24</x:f>
        <x:v>3552.0516458717175</x:v>
      </x:c>
      <x:c r="H19" s="101" t="n">
        <x:f>'Three Statements'!K24</x:f>
        <x:v>3766.209513703895</x:v>
      </x:c>
      <x:c r="I19" s="71"/>
      <x:c r="J19" s="71"/>
      <x:c r="K19" s="71"/>
    </x:row>
    <x:row r="20">
      <x:c r="A20" s="71"/>
      <x:c r="B20" s="71"/>
      <x:c r="C20" s="71" t="str">
        <x:v>Free cash flow</x:v>
      </x:c>
      <x:c r="D20" s="101" t="n">
        <x:f>'Three Statements'!G85</x:f>
        <x:v>1862.3135324999973</x:v>
      </x:c>
      <x:c r="E20" s="101" t="n">
        <x:f>'Three Statements'!H85</x:f>
        <x:v>2652.6594296625035</x:v>
      </x:c>
      <x:c r="F20" s="101" t="n">
        <x:f>'Three Statements'!I85</x:f>
        <x:v>2966.1070987130606</x:v>
      </x:c>
      <x:c r="G20" s="101" t="n">
        <x:f>'Three Statements'!J85</x:f>
        <x:v>3176.189845842615</x:v>
      </x:c>
      <x:c r="H20" s="101" t="n">
        <x:f>'Three Statements'!K85</x:f>
        <x:v>3260.6745379682725</x:v>
      </x:c>
      <x:c r="I20" s="71"/>
      <x:c r="J20" s="71"/>
      <x:c r="K20" s="71"/>
    </x:row>
    <x:row r="21">
      <x:c r="A21" s="71"/>
      <x:c r="B21" s="71"/>
      <x:c r="C21" s="71" t="str">
        <x:v>Net debt</x:v>
      </x:c>
      <x:c r="D21" s="101" t="n">
        <x:f>'Three Statements'!G86</x:f>
        <x:v>19823.333085250004</x:v>
      </x:c>
      <x:c r="E21" s="101" t="n">
        <x:f>'Three Statements'!H86</x:f>
        <x:v>19284.23195575625</x:v>
      </x:c>
      <x:c r="F21" s="101" t="n">
        <x:f>'Three Statements'!I86</x:f>
        <x:v>18710.88619325179</x:v>
      </x:c>
      <x:c r="G21" s="101" t="n">
        <x:f>'Three Statements'!J86</x:f>
        <x:v>18127.128488612278</x:v>
      </x:c>
      <x:c r="H21" s="101" t="n">
        <x:f>'Three Statements'!K86</x:f>
        <x:v>17612.457079969376</x:v>
      </x:c>
      <x:c r="I21" s="71"/>
      <x:c r="J21" s="71"/>
      <x:c r="K21" s="71"/>
    </x:row>
    <x:row r="22">
      <x:c r="A22" s="71"/>
      <x:c r="B22" s="71"/>
      <x:c r="C22" s="71" t="str">
        <x:v>Net debt / adjusted EBITDA</x:v>
      </x:c>
      <x:c r="D22" s="119" t="n">
        <x:f>'Three Statements'!G87</x:f>
        <x:v>3.589772001670772</x:v>
      </x:c>
      <x:c r="E22" s="119" t="n">
        <x:f>'Three Statements'!H87</x:f>
        <x:v>3.3284241189992163</x:v>
      </x:c>
      <x:c r="F22" s="119" t="n">
        <x:f>'Three Statements'!I87</x:f>
        <x:v>3.0846557515234077</x:v>
      </x:c>
      <x:c r="G22" s="119" t="n">
        <x:f>'Three Statements'!J87</x:f>
        <x:v>2.859818013248856</x:v>
      </x:c>
      <x:c r="H22" s="119" t="n">
        <x:f>'Three Statements'!K87</x:f>
        <x:v>2.659186204276074</x:v>
      </x:c>
      <x:c r="I22" s="71"/>
      <x:c r="J22" s="71"/>
      <x:c r="K22" s="71"/>
    </x:row>
    <x:row r="23">
      <x:c r="A23" s="71"/>
      <x:c r="B23" s="71"/>
      <x:c r="C23" s="71" t="str">
        <x:v>Interest coverage</x:v>
      </x:c>
      <x:c r="D23" s="119" t="n">
        <x:f>'Three Statements'!G88</x:f>
        <x:v>5.7047510679290685</x:v>
      </x:c>
      <x:c r="E23" s="119" t="n">
        <x:f>'Three Statements'!H88</x:f>
        <x:v>6.300383230774627</x:v>
      </x:c>
      <x:c r="F23" s="119" t="n">
        <x:f>'Three Statements'!I88</x:f>
        <x:v>6.81327541028186</x:v>
      </x:c>
      <x:c r="G23" s="119" t="n">
        <x:f>'Three Statements'!J88</x:f>
        <x:v>7.332139223323361</x:v>
      </x:c>
      <x:c r="H23" s="119" t="n">
        <x:f>'Three Statements'!K88</x:f>
        <x:v>7.90155877088506</x:v>
      </x:c>
      <x:c r="I23" s="71"/>
      <x:c r="J23" s="71"/>
      <x:c r="K23" s="71"/>
    </x:row>
    <x:row r="24">
      <x:c r="A24" s="71"/>
      <x:c r="B24" s="71"/>
      <x:c r="C24" s="71"/>
      <x:c r="D24" s="71"/>
      <x:c r="E24" s="71"/>
      <x:c r="F24" s="71"/>
      <x:c r="G24" s="71"/>
      <x:c r="H24" s="71"/>
      <x:c r="I24" s="71"/>
      <x:c r="J24" s="71"/>
      <x:c r="K24" s="71"/>
    </x:row>
    <x:row r="25">
      <x:c r="A25" s="71"/>
      <x:c r="B25" s="71"/>
      <x:c r="C25" s="71"/>
      <x:c r="D25" s="71"/>
      <x:c r="E25" s="71"/>
      <x:c r="F25" s="71"/>
      <x:c r="G25" s="71"/>
      <x:c r="H25" s="71"/>
      <x:c r="I25" s="71"/>
      <x:c r="J25" s="71"/>
      <x:c r="K25" s="71"/>
    </x:row>
    <x:row r="26">
      <x:c r="A26" s="71"/>
      <x:c r="B26" s="71"/>
      <x:c r="C26" s="71" t="str">
        <x:v>Active scenario</x:v>
      </x:c>
      <x:c r="D26" s="71" t="str">
        <x:f>'Assumptions'!D9</x:f>
        <x:v>Base</x:v>
      </x:c>
      <x:c r="E26" s="71"/>
      <x:c r="F26" s="71"/>
      <x:c r="G26" s="71"/>
      <x:c r="H26" s="71"/>
      <x:c r="I26" s="71"/>
      <x:c r="J26" s="71"/>
      <x:c r="K26" s="71"/>
    </x:row>
    <x:row r="27">
      <x:c r="A27" s="71"/>
      <x:c r="B27" s="71"/>
      <x:c r="C27" s="73" t="str">
        <x:v>Use the selector on Assumptions to refresh the full model and these outputs.</x:v>
      </x:c>
      <x:c r="D27" s="73"/>
      <x:c r="E27" s="73"/>
      <x:c r="F27" s="73"/>
      <x:c r="G27" s="73"/>
      <x:c r="H27" s="73"/>
      <x:c r="I27" s="71"/>
      <x:c r="J27" s="71"/>
      <x:c r="K27" s="71"/>
    </x:row>
    <x:row r="28">
      <x:c r="A28" s="71"/>
      <x:c r="B28" s="71"/>
      <x:c r="C28" s="71"/>
      <x:c r="D28" s="71"/>
      <x:c r="E28" s="71"/>
      <x:c r="F28" s="71"/>
      <x:c r="G28" s="71"/>
      <x:c r="H28" s="71"/>
      <x:c r="I28" s="71"/>
      <x:c r="J28" s="71"/>
      <x:c r="K28" s="71"/>
    </x:row>
    <x:row r="29">
      <x:c r="A29" s="71"/>
      <x:c r="B29" s="71"/>
      <x:c r="C29" s="71"/>
      <x:c r="D29" s="71"/>
      <x:c r="E29" s="71"/>
      <x:c r="F29" s="71"/>
      <x:c r="G29" s="71"/>
      <x:c r="H29" s="71"/>
      <x:c r="I29" s="71"/>
      <x:c r="J29" s="71"/>
      <x:c r="K29" s="71"/>
    </x:row>
    <x:row r="30">
      <x:c r="A30" s="71"/>
      <x:c r="B30" s="71"/>
      <x:c r="C30" s="71"/>
      <x:c r="D30" s="71"/>
      <x:c r="E30" s="71"/>
      <x:c r="F30" s="71"/>
      <x:c r="G30" s="71"/>
      <x:c r="H30" s="71"/>
      <x:c r="I30" s="71"/>
      <x:c r="J30" s="71"/>
      <x:c r="K30" s="7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4" hidden="0" customWidth="1"/>
    <x:col min="4" max="4" width="3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1" hidden="0" customWidth="1"/>
    <x:col min="11" max="11" width="11" hidden="0" customWidth="1"/>
    <x:col min="20" max="20" width="2" hidden="0" customWidth="1"/>
    <x:col min="21" max="21" width="2" hidden="0" customWidth="1"/>
    <x:col min="22" max="22" width="2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>
      <x:c r="A1" s="71"/>
      <x:c r="B1" s="71"/>
      <x:c r="C1" s="79"/>
      <x:c r="D1" s="71"/>
      <x:c r="E1" s="71"/>
      <x:c r="F1" s="71"/>
      <x:c r="G1" s="71"/>
      <x:c r="H1" s="71"/>
      <x:c r="I1" s="71"/>
      <x:c r="J1" s="71"/>
      <x:c r="K1" s="71"/>
      <x:c r="L1" s="99"/>
      <x:c r="M1" s="99"/>
      <x:c r="N1" s="99"/>
      <x:c r="O1" s="99"/>
      <x:c r="P1" s="99"/>
      <x:c r="Q1" s="99"/>
      <x:c r="R1" s="99"/>
      <x:c r="S1" s="99"/>
      <x:c r="T1" s="99"/>
      <x:c r="U1" s="99"/>
      <x:c r="V1" s="99"/>
    </x:row>
    <x:row r="2">
      <x:c r="A2" s="71"/>
      <x:c r="B2" s="71"/>
      <x:c r="C2" s="72" t="str">
        <x:v>Financial outlook</x:v>
      </x:c>
      <x:c r="D2" s="71"/>
      <x:c r="E2" s="71"/>
      <x:c r="F2" s="71"/>
      <x:c r="G2" s="71"/>
      <x:c r="H2" s="71"/>
      <x:c r="I2" s="71"/>
      <x:c r="J2" s="71"/>
      <x:c r="K2" s="71"/>
      <x:c r="L2" s="99"/>
      <x:c r="M2" s="99"/>
      <x:c r="N2" s="99"/>
      <x:c r="O2" s="99"/>
      <x:c r="P2" s="99"/>
      <x:c r="Q2" s="99"/>
      <x:c r="R2" s="99"/>
      <x:c r="S2" s="99"/>
      <x:c r="T2" s="99"/>
      <x:c r="U2" s="99"/>
      <x:c r="V2" s="99"/>
    </x:row>
    <x:row r="3">
      <x:c r="A3" s="71"/>
      <x:c r="B3" s="71"/>
      <x:c r="C3" s="73" t="str">
        <x:v>Diageo plc | Active scenario outputs | US$ millions</x:v>
      </x:c>
      <x:c r="D3" s="73"/>
      <x:c r="E3" s="73"/>
      <x:c r="F3" s="73"/>
      <x:c r="G3" s="73"/>
      <x:c r="H3" s="73"/>
      <x:c r="I3" s="73"/>
      <x:c r="J3" s="73"/>
      <x:c r="K3" s="73"/>
      <x:c r="L3" s="99"/>
      <x:c r="M3" s="99"/>
      <x:c r="N3" s="99"/>
      <x:c r="O3" s="99"/>
      <x:c r="P3" s="99"/>
      <x:c r="Q3" s="99"/>
      <x:c r="R3" s="99"/>
      <x:c r="S3" s="99"/>
      <x:c r="T3" s="99"/>
      <x:c r="U3" s="99"/>
      <x:c r="V3" s="99"/>
    </x:row>
    <x:row r="4">
      <x:c r="A4" s="71"/>
      <x:c r="B4" s="71"/>
      <x:c r="C4" s="74"/>
      <x:c r="D4" s="74"/>
      <x:c r="E4" s="74"/>
      <x:c r="F4" s="74"/>
      <x:c r="G4" s="74"/>
      <x:c r="H4" s="74"/>
      <x:c r="I4" s="74"/>
      <x:c r="J4" s="74"/>
      <x:c r="K4" s="74"/>
      <x:c r="L4" s="99"/>
      <x:c r="M4" s="99"/>
      <x:c r="N4" s="99"/>
      <x:c r="O4" s="99"/>
      <x:c r="P4" s="99"/>
      <x:c r="Q4" s="99"/>
      <x:c r="R4" s="99"/>
      <x:c r="S4" s="99"/>
      <x:c r="T4" s="99"/>
      <x:c r="U4" s="99"/>
      <x:c r="V4" s="99"/>
    </x:row>
    <x:row r="5">
      <x:c r="A5" s="71"/>
      <x:c r="B5" s="71"/>
      <x:c r="C5" s="71"/>
      <x:c r="D5" s="71"/>
      <x:c r="E5" s="71"/>
      <x:c r="F5" s="71"/>
      <x:c r="G5" s="71"/>
      <x:c r="H5" s="71"/>
      <x:c r="I5" s="71"/>
      <x:c r="J5" s="71"/>
      <x:c r="K5" s="71"/>
      <x:c r="L5" s="99"/>
      <x:c r="M5" s="99"/>
      <x:c r="N5" s="99"/>
      <x:c r="O5" s="99"/>
      <x:c r="P5" s="99"/>
      <x:c r="Q5" s="99"/>
      <x:c r="R5" s="99"/>
      <x:c r="S5" s="99"/>
      <x:c r="T5" s="99"/>
      <x:c r="U5" s="99"/>
      <x:c r="V5" s="99"/>
    </x:row>
    <x:row r="6">
      <x:c r="A6" s="71"/>
      <x:c r="B6" s="71"/>
      <x:c r="C6" s="71" t="str">
        <x:v>Active scenario</x:v>
      </x:c>
      <x:c r="D6" s="122" t="str">
        <x:f>'Assumptions'!D9</x:f>
        <x:v>Base</x:v>
      </x:c>
      <x:c r="E6" s="122"/>
      <x:c r="F6" s="122" t="str">
        <x:v>Model status</x:v>
      </x:c>
      <x:c r="G6" s="122" t="str">
        <x:f>'Checks'!D20</x:f>
        <x:v>MODEL OK</x:v>
      </x:c>
      <x:c r="H6" s="71"/>
      <x:c r="I6" s="71"/>
      <x:c r="J6" s="71"/>
      <x:c r="K6" s="71"/>
      <x:c r="L6" s="99"/>
      <x:c r="M6" s="99"/>
      <x:c r="N6" s="99"/>
      <x:c r="O6" s="99"/>
      <x:c r="P6" s="99"/>
      <x:c r="Q6" s="99"/>
      <x:c r="R6" s="99"/>
      <x:c r="S6" s="99"/>
      <x:c r="T6" s="99"/>
      <x:c r="U6" s="99"/>
      <x:c r="V6" s="99"/>
    </x:row>
    <x:row r="7">
      <x:c r="A7" s="71"/>
      <x:c r="B7" s="71"/>
      <x:c r="C7" s="71"/>
      <x:c r="D7" s="71"/>
      <x:c r="E7" s="71"/>
      <x:c r="F7" s="71"/>
      <x:c r="G7" s="71"/>
      <x:c r="H7" s="71"/>
      <x:c r="I7" s="71"/>
      <x:c r="J7" s="71"/>
      <x:c r="K7" s="71"/>
      <x:c r="L7" s="99"/>
      <x:c r="M7" s="99"/>
      <x:c r="N7" s="99"/>
      <x:c r="O7" s="99"/>
      <x:c r="P7" s="99"/>
      <x:c r="Q7" s="99"/>
      <x:c r="R7" s="99"/>
      <x:c r="S7" s="99"/>
      <x:c r="T7" s="99"/>
      <x:c r="U7" s="99"/>
      <x:c r="V7" s="99"/>
    </x:row>
    <x:row r="8">
      <x:c r="A8" s="71"/>
      <x:c r="B8" s="71"/>
      <x:c r="C8" s="71"/>
      <x:c r="D8" s="71"/>
      <x:c r="E8" s="71"/>
      <x:c r="F8" s="71"/>
      <x:c r="G8" s="71"/>
      <x:c r="H8" s="71"/>
      <x:c r="I8" s="71"/>
      <x:c r="J8" s="71"/>
      <x:c r="K8" s="71"/>
      <x:c r="L8" s="99"/>
      <x:c r="M8" s="99"/>
      <x:c r="N8" s="99"/>
      <x:c r="O8" s="99"/>
      <x:c r="P8" s="99"/>
      <x:c r="Q8" s="99"/>
      <x:c r="R8" s="99"/>
      <x:c r="S8" s="99"/>
      <x:c r="T8" s="99"/>
      <x:c r="U8" s="99"/>
      <x:c r="V8" s="99"/>
    </x:row>
    <x:row r="9">
      <x:c r="A9" s="71"/>
      <x:c r="B9" s="71"/>
      <x:c r="C9" s="75" t="str">
        <x:v>Headline metrics</x:v>
      </x:c>
      <x:c r="D9" s="75"/>
      <x:c r="E9" s="75"/>
      <x:c r="F9" s="75"/>
      <x:c r="G9" s="75"/>
      <x:c r="H9" s="75"/>
      <x:c r="I9" s="71"/>
      <x:c r="J9" s="71"/>
      <x:c r="K9" s="71"/>
      <x:c r="L9" s="99"/>
      <x:c r="M9" s="99"/>
      <x:c r="N9" s="99"/>
      <x:c r="O9" s="99"/>
      <x:c r="P9" s="99"/>
      <x:c r="Q9" s="99"/>
      <x:c r="R9" s="99"/>
      <x:c r="S9" s="99"/>
      <x:c r="T9" s="99"/>
      <x:c r="U9" s="99"/>
      <x:c r="V9" s="99"/>
    </x:row>
    <x:row r="10">
      <x:c r="A10" s="71"/>
      <x:c r="B10" s="71"/>
      <x:c r="C10" s="87" t="str">
        <x:v>Metric</x:v>
      </x:c>
      <x:c r="D10" s="87" t="str">
        <x:v>FY:26A</x:v>
      </x:c>
      <x:c r="E10" s="87" t="str">
        <x:v>FY:27E</x:v>
      </x:c>
      <x:c r="F10" s="87" t="str">
        <x:v>FY:29E</x:v>
      </x:c>
      <x:c r="G10" s="87" t="str">
        <x:v>FY:31E</x:v>
      </x:c>
      <x:c r="H10" s="87" t="str">
        <x:v>FY26–FY31 change</x:v>
      </x:c>
      <x:c r="I10" s="71"/>
      <x:c r="J10" s="71"/>
      <x:c r="K10" s="71"/>
      <x:c r="L10" s="99"/>
      <x:c r="M10" s="99"/>
      <x:c r="N10" s="99"/>
      <x:c r="O10" s="99"/>
      <x:c r="P10" s="99"/>
      <x:c r="Q10" s="99"/>
      <x:c r="R10" s="99"/>
      <x:c r="S10" s="99"/>
      <x:c r="T10" s="99"/>
      <x:c r="U10" s="99"/>
      <x:c r="V10" s="99"/>
    </x:row>
    <x:row r="11">
      <x:c r="A11" s="71"/>
      <x:c r="B11" s="71"/>
      <x:c r="C11" s="71" t="str">
        <x:v>Net sales</x:v>
      </x:c>
      <x:c r="D11" s="101" t="n">
        <x:f>'Three Statements'!F9</x:f>
        <x:v>19643</x:v>
      </x:c>
      <x:c r="E11" s="101" t="n">
        <x:f>'Three Statements'!G9</x:f>
        <x:v>19512.97</x:v>
      </x:c>
      <x:c r="F11" s="101" t="n">
        <x:f>'Three Statements'!I9</x:f>
        <x:v>20492.547126</x:v>
      </x:c>
      <x:c r="G11" s="101" t="n">
        <x:f>'Three Statements'!K9</x:f>
        <x:v>21931.293946529404</x:v>
      </x:c>
      <x:c r="H11" s="92" t="n">
        <x:f>G11/D11-1</x:f>
        <x:v>0.11649411732064374</x:v>
      </x:c>
      <x:c r="I11" s="71"/>
      <x:c r="J11" s="71"/>
      <x:c r="K11" s="71"/>
      <x:c r="L11" s="99"/>
      <x:c r="M11" s="99"/>
      <x:c r="N11" s="99"/>
      <x:c r="O11" s="99"/>
      <x:c r="P11" s="99"/>
      <x:c r="Q11" s="99"/>
      <x:c r="R11" s="99"/>
      <x:c r="S11" s="99"/>
      <x:c r="T11" s="99"/>
      <x:c r="U11" s="99"/>
      <x:c r="V11" s="99"/>
    </x:row>
    <x:row r="12">
      <x:c r="A12" s="71"/>
      <x:c r="B12" s="71"/>
      <x:c r="C12" s="71" t="str">
        <x:v>Adjusted EBITDA</x:v>
      </x:c>
      <x:c r="D12" s="101" t="n">
        <x:f>'Three Statements'!F14</x:f>
        <x:v>8163</x:v>
      </x:c>
      <x:c r="E12" s="101" t="n">
        <x:f>'Three Statements'!G14</x:f>
        <x:v>5522.170509999999</x:v>
      </x:c>
      <x:c r="F12" s="101" t="n">
        <x:f>'Three Statements'!I14</x:f>
        <x:v>6065.7939492959995</x:v>
      </x:c>
      <x:c r="G12" s="101" t="n">
        <x:f>'Three Statements'!K14</x:f>
        <x:v>6623.250771851879</x:v>
      </x:c>
      <x:c r="H12" s="92" t="n">
        <x:f>G12/D12-1</x:f>
        <x:v>-0.18862541077399497</x:v>
      </x:c>
      <x:c r="I12" s="71"/>
      <x:c r="J12" s="71"/>
      <x:c r="K12" s="71"/>
      <x:c r="L12" s="99"/>
      <x:c r="M12" s="99"/>
      <x:c r="N12" s="99"/>
      <x:c r="O12" s="99"/>
      <x:c r="P12" s="99"/>
      <x:c r="Q12" s="99"/>
      <x:c r="R12" s="99"/>
      <x:c r="S12" s="99"/>
      <x:c r="T12" s="99"/>
      <x:c r="U12" s="99"/>
      <x:c r="V12" s="99"/>
    </x:row>
    <x:row r="13">
      <x:c r="A13" s="71"/>
      <x:c r="B13" s="71"/>
      <x:c r="C13" s="71" t="str">
        <x:v>Adjusted EBITDA margin</x:v>
      </x:c>
      <x:c r="D13" s="92" t="n">
        <x:f>'Three Statements'!F84</x:f>
        <x:v>0.41556788677900525</x:v>
      </x:c>
      <x:c r="E13" s="92" t="n">
        <x:f>'Three Statements'!G84</x:f>
        <x:v>0.2829999999999999</x:v>
      </x:c>
      <x:c r="F13" s="92" t="n">
        <x:f>'Three Statements'!I84</x:f>
        <x:v>0.29599999999999993</x:v>
      </x:c>
      <x:c r="G13" s="92" t="n">
        <x:f>'Three Statements'!K84</x:f>
        <x:v>0.30199999999999994</x:v>
      </x:c>
      <x:c r="H13" s="92" t="n">
        <x:f>G13-D13</x:f>
        <x:v>-0.11356788677900531</x:v>
      </x:c>
      <x:c r="I13" s="71"/>
      <x:c r="J13" s="71"/>
      <x:c r="K13" s="71"/>
      <x:c r="L13" s="99"/>
      <x:c r="M13" s="99"/>
      <x:c r="N13" s="99"/>
      <x:c r="O13" s="99"/>
      <x:c r="P13" s="99"/>
      <x:c r="Q13" s="99"/>
      <x:c r="R13" s="99"/>
      <x:c r="S13" s="99"/>
      <x:c r="T13" s="99"/>
      <x:c r="U13" s="99"/>
      <x:c r="V13" s="99"/>
    </x:row>
    <x:row r="14">
      <x:c r="A14" s="71"/>
      <x:c r="B14" s="71"/>
      <x:c r="C14" s="71" t="str">
        <x:v>Free cash flow</x:v>
      </x:c>
      <x:c r="D14" s="101" t="n">
        <x:f>'Three Statements'!F85</x:f>
        <x:v>4392</x:v>
      </x:c>
      <x:c r="E14" s="101" t="n">
        <x:f>'Three Statements'!G85</x:f>
        <x:v>1862.3135324999973</x:v>
      </x:c>
      <x:c r="F14" s="101" t="n">
        <x:f>'Three Statements'!I85</x:f>
        <x:v>2966.1070987130606</x:v>
      </x:c>
      <x:c r="G14" s="101" t="n">
        <x:f>'Three Statements'!K85</x:f>
        <x:v>3260.6745379682725</x:v>
      </x:c>
      <x:c r="H14" s="92" t="n">
        <x:f>G14/D14-1</x:f>
        <x:v>-0.257587764579173</x:v>
      </x:c>
      <x:c r="I14" s="71"/>
      <x:c r="J14" s="71"/>
      <x:c r="K14" s="71"/>
      <x:c r="L14" s="99"/>
      <x:c r="M14" s="99"/>
      <x:c r="N14" s="99"/>
      <x:c r="O14" s="99"/>
      <x:c r="P14" s="99"/>
      <x:c r="Q14" s="99"/>
      <x:c r="R14" s="99"/>
      <x:c r="S14" s="99"/>
      <x:c r="T14" s="99"/>
      <x:c r="U14" s="99"/>
      <x:c r="V14" s="99"/>
    </x:row>
    <x:row r="15">
      <x:c r="A15" s="71"/>
      <x:c r="B15" s="71"/>
      <x:c r="C15" s="71" t="str">
        <x:v>Net debt</x:v>
      </x:c>
      <x:c r="D15" s="101" t="n">
        <x:f>'Three Statements'!F86</x:f>
        <x:v>19991</x:v>
      </x:c>
      <x:c r="E15" s="101" t="n">
        <x:f>'Three Statements'!G86</x:f>
        <x:v>19823.333085250004</x:v>
      </x:c>
      <x:c r="F15" s="101" t="n">
        <x:f>'Three Statements'!I86</x:f>
        <x:v>18710.88619325179</x:v>
      </x:c>
      <x:c r="G15" s="101" t="n">
        <x:f>'Three Statements'!K86</x:f>
        <x:v>17612.457079969376</x:v>
      </x:c>
      <x:c r="H15" s="92" t="n">
        <x:f>G15/D15-1</x:f>
        <x:v>-0.11898068731082112</x:v>
      </x:c>
      <x:c r="I15" s="71"/>
      <x:c r="J15" s="71"/>
      <x:c r="K15" s="71"/>
      <x:c r="L15" s="99"/>
      <x:c r="M15" s="99"/>
      <x:c r="N15" s="99"/>
      <x:c r="O15" s="99"/>
      <x:c r="P15" s="99"/>
      <x:c r="Q15" s="99"/>
      <x:c r="R15" s="99"/>
      <x:c r="S15" s="99"/>
      <x:c r="T15" s="99"/>
      <x:c r="U15" s="99"/>
      <x:c r="V15" s="99"/>
    </x:row>
    <x:row r="16">
      <x:c r="A16" s="71"/>
      <x:c r="B16" s="71"/>
      <x:c r="C16" s="71" t="str">
        <x:v>Net debt / EBITDA</x:v>
      </x:c>
      <x:c r="D16" s="119" t="n">
        <x:f>'Three Statements'!F87</x:f>
        <x:v>2.448977091755482</x:v>
      </x:c>
      <x:c r="E16" s="119" t="n">
        <x:f>'Three Statements'!G87</x:f>
        <x:v>3.589772001670772</x:v>
      </x:c>
      <x:c r="F16" s="119" t="n">
        <x:f>'Three Statements'!I87</x:f>
        <x:v>3.0846557515234077</x:v>
      </x:c>
      <x:c r="G16" s="119" t="n">
        <x:f>'Three Statements'!K87</x:f>
        <x:v>2.659186204276074</x:v>
      </x:c>
      <x:c r="H16" s="92" t="n">
        <x:f>G16/D16-1</x:f>
        <x:v>0.08583547523913726</x:v>
      </x:c>
      <x:c r="I16" s="71"/>
      <x:c r="J16" s="71"/>
      <x:c r="K16" s="71"/>
      <x:c r="L16" s="99"/>
      <x:c r="M16" s="99"/>
      <x:c r="N16" s="99"/>
      <x:c r="O16" s="99"/>
      <x:c r="P16" s="99"/>
      <x:c r="Q16" s="99"/>
      <x:c r="R16" s="99"/>
      <x:c r="S16" s="99"/>
      <x:c r="T16" s="99"/>
      <x:c r="U16" s="99"/>
      <x:c r="V16" s="99"/>
    </x:row>
    <x:row r="17">
      <x:c r="A17" s="71"/>
      <x:c r="B17" s="71"/>
      <x:c r="C17" s="71"/>
      <x:c r="D17" s="71"/>
      <x:c r="E17" s="71"/>
      <x:c r="F17" s="71"/>
      <x:c r="G17" s="71"/>
      <x:c r="H17" s="71"/>
      <x:c r="I17" s="71"/>
      <x:c r="J17" s="71"/>
      <x:c r="K17" s="71"/>
      <x:c r="L17" s="99"/>
      <x:c r="M17" s="99"/>
      <x:c r="N17" s="99"/>
      <x:c r="O17" s="99"/>
      <x:c r="P17" s="99"/>
      <x:c r="Q17" s="99"/>
      <x:c r="R17" s="99"/>
      <x:c r="S17" s="99"/>
      <x:c r="T17" s="99"/>
      <x:c r="U17" s="99"/>
      <x:c r="V17" s="99"/>
    </x:row>
    <x:row r="18">
      <x:c r="A18" s="71"/>
      <x:c r="B18" s="71"/>
      <x:c r="C18" s="71"/>
      <x:c r="D18" s="71"/>
      <x:c r="E18" s="71"/>
      <x:c r="F18" s="71"/>
      <x:c r="G18" s="71"/>
      <x:c r="H18" s="71"/>
      <x:c r="I18" s="71"/>
      <x:c r="J18" s="71"/>
      <x:c r="K18" s="71"/>
      <x:c r="L18" s="99"/>
      <x:c r="M18" s="99"/>
      <x:c r="N18" s="99"/>
      <x:c r="O18" s="99"/>
      <x:c r="P18" s="99"/>
      <x:c r="Q18" s="99"/>
      <x:c r="R18" s="99"/>
      <x:c r="S18" s="99"/>
      <x:c r="T18" s="99"/>
      <x:c r="U18" s="99"/>
      <x:c r="V18" s="99"/>
    </x:row>
    <x:row r="19">
      <x:c r="A19" s="71"/>
      <x:c r="B19" s="71"/>
      <x:c r="C19" s="71"/>
      <x:c r="D19" s="71"/>
      <x:c r="E19" s="71"/>
      <x:c r="F19" s="71"/>
      <x:c r="G19" s="71"/>
      <x:c r="H19" s="71"/>
      <x:c r="I19" s="71"/>
      <x:c r="J19" s="71"/>
      <x:c r="K19" s="71"/>
      <x:c r="L19" s="99"/>
      <x:c r="M19" s="99"/>
      <x:c r="N19" s="99"/>
      <x:c r="O19" s="99"/>
      <x:c r="P19" s="99"/>
      <x:c r="Q19" s="99"/>
      <x:c r="R19" s="99"/>
      <x:c r="S19" s="99"/>
      <x:c r="T19" s="99"/>
      <x:c r="U19" s="99"/>
      <x:c r="V19" s="99"/>
    </x:row>
    <x:row r="20">
      <x:c r="A20" s="71"/>
      <x:c r="B20" s="71"/>
      <x:c r="C20" s="75" t="str">
        <x:v>Forecast trend data</x:v>
      </x:c>
      <x:c r="D20" s="75"/>
      <x:c r="E20" s="75"/>
      <x:c r="F20" s="75"/>
      <x:c r="G20" s="75"/>
      <x:c r="H20" s="75"/>
      <x:c r="I20" s="71"/>
      <x:c r="J20" s="71"/>
      <x:c r="K20" s="71"/>
      <x:c r="L20" s="99"/>
      <x:c r="M20" s="99"/>
      <x:c r="N20" s="99"/>
      <x:c r="O20" s="99"/>
      <x:c r="P20" s="99"/>
      <x:c r="Q20" s="99"/>
      <x:c r="R20" s="99"/>
      <x:c r="S20" s="99"/>
      <x:c r="T20" s="123" t="str">
        <x:v>Year</x:v>
      </x:c>
      <x:c r="U20" s="123" t="str">
        <x:v>Net sales</x:v>
      </x:c>
      <x:c r="V20" s="123" t="str">
        <x:v>Adjusted EBITDA</x:v>
      </x:c>
    </x:row>
    <x:row r="21">
      <x:c r="A21" s="71"/>
      <x:c r="B21" s="71"/>
      <x:c r="C21" s="87" t="str">
        <x:v>Metric</x:v>
      </x:c>
      <x:c r="D21" s="87" t="str">
        <x:v>FY:27E</x:v>
      </x:c>
      <x:c r="E21" s="87" t="str">
        <x:v>FY:28E</x:v>
      </x:c>
      <x:c r="F21" s="87" t="str">
        <x:v>FY:29E</x:v>
      </x:c>
      <x:c r="G21" s="87" t="str">
        <x:v>FY:30E</x:v>
      </x:c>
      <x:c r="H21" s="87" t="str">
        <x:v>FY:31E</x:v>
      </x:c>
      <x:c r="I21" s="71"/>
      <x:c r="J21" s="71"/>
      <x:c r="K21" s="71"/>
      <x:c r="L21" s="99"/>
      <x:c r="M21" s="99"/>
      <x:c r="N21" s="99"/>
      <x:c r="O21" s="99"/>
      <x:c r="P21" s="99"/>
      <x:c r="Q21" s="99"/>
      <x:c r="R21" s="99"/>
      <x:c r="S21" s="99"/>
      <x:c r="T21" s="123" t="str">
        <x:v>FY:27E</x:v>
      </x:c>
      <x:c r="U21" s="123" t="n">
        <x:f>D22</x:f>
        <x:v>19512.97</x:v>
      </x:c>
      <x:c r="V21" s="123" t="n">
        <x:f>D23</x:f>
        <x:v>5522.170509999999</x:v>
      </x:c>
    </x:row>
    <x:row r="22">
      <x:c r="A22" s="71"/>
      <x:c r="B22" s="71"/>
      <x:c r="C22" s="71" t="str">
        <x:v>Net sales</x:v>
      </x:c>
      <x:c r="D22" s="101" t="n">
        <x:f>'Three Statements'!G9</x:f>
        <x:v>19512.97</x:v>
      </x:c>
      <x:c r="E22" s="101" t="n">
        <x:f>'Three Statements'!H9</x:f>
        <x:v>19909.9742</x:v>
      </x:c>
      <x:c r="F22" s="101" t="n">
        <x:f>'Three Statements'!I9</x:f>
        <x:v>20492.547126</x:v>
      </x:c>
      <x:c r="G22" s="101" t="n">
        <x:f>'Three Statements'!J9</x:f>
        <x:v>21199.197818580004</x:v>
      </x:c>
      <x:c r="H22" s="101" t="n">
        <x:f>'Three Statements'!K9</x:f>
        <x:v>21931.293946529404</x:v>
      </x:c>
      <x:c r="I22" s="71"/>
      <x:c r="J22" s="71"/>
      <x:c r="K22" s="71"/>
      <x:c r="L22" s="99"/>
      <x:c r="M22" s="99"/>
      <x:c r="N22" s="99"/>
      <x:c r="O22" s="99"/>
      <x:c r="P22" s="99"/>
      <x:c r="Q22" s="99"/>
      <x:c r="R22" s="99"/>
      <x:c r="S22" s="99"/>
      <x:c r="T22" s="123" t="str">
        <x:v>FY:28E</x:v>
      </x:c>
      <x:c r="U22" s="123" t="n">
        <x:f>E22</x:f>
        <x:v>19909.9742</x:v>
      </x:c>
      <x:c r="V22" s="123" t="n">
        <x:f>E23</x:f>
        <x:v>5793.8024922</x:v>
      </x:c>
    </x:row>
    <x:row r="23">
      <x:c r="A23" s="71"/>
      <x:c r="B23" s="71"/>
      <x:c r="C23" s="71" t="str">
        <x:v>Adjusted EBITDA</x:v>
      </x:c>
      <x:c r="D23" s="101" t="n">
        <x:f>'Three Statements'!G14</x:f>
        <x:v>5522.170509999999</x:v>
      </x:c>
      <x:c r="E23" s="101" t="n">
        <x:f>'Three Statements'!H14</x:f>
        <x:v>5793.8024922</x:v>
      </x:c>
      <x:c r="F23" s="101" t="n">
        <x:f>'Three Statements'!I14</x:f>
        <x:v>6065.7939492959995</x:v>
      </x:c>
      <x:c r="G23" s="101" t="n">
        <x:f>'Three Statements'!J14</x:f>
        <x:v>6338.560147755419</x:v>
      </x:c>
      <x:c r="H23" s="101" t="n">
        <x:f>'Three Statements'!K14</x:f>
        <x:v>6623.250771851879</x:v>
      </x:c>
      <x:c r="I23" s="71"/>
      <x:c r="J23" s="71"/>
      <x:c r="K23" s="71"/>
      <x:c r="L23" s="99"/>
      <x:c r="M23" s="99"/>
      <x:c r="N23" s="99"/>
      <x:c r="O23" s="99"/>
      <x:c r="P23" s="99"/>
      <x:c r="Q23" s="99"/>
      <x:c r="R23" s="99"/>
      <x:c r="S23" s="99"/>
      <x:c r="T23" s="123" t="str">
        <x:v>FY:29E</x:v>
      </x:c>
      <x:c r="U23" s="123" t="n">
        <x:f>F22</x:f>
        <x:v>20492.547126</x:v>
      </x:c>
      <x:c r="V23" s="123" t="n">
        <x:f>F23</x:f>
        <x:v>6065.7939492959995</x:v>
      </x:c>
    </x:row>
    <x:row r="24">
      <x:c r="A24" s="71"/>
      <x:c r="B24" s="71"/>
      <x:c r="C24" s="71" t="str">
        <x:v>Free cash flow</x:v>
      </x:c>
      <x:c r="D24" s="101" t="n">
        <x:f>'Three Statements'!G85</x:f>
        <x:v>1862.3135324999973</x:v>
      </x:c>
      <x:c r="E24" s="101" t="n">
        <x:f>'Three Statements'!H85</x:f>
        <x:v>2652.6594296625035</x:v>
      </x:c>
      <x:c r="F24" s="101" t="n">
        <x:f>'Three Statements'!I85</x:f>
        <x:v>2966.1070987130606</x:v>
      </x:c>
      <x:c r="G24" s="101" t="n">
        <x:f>'Three Statements'!J85</x:f>
        <x:v>3176.189845842615</x:v>
      </x:c>
      <x:c r="H24" s="101" t="n">
        <x:f>'Three Statements'!K85</x:f>
        <x:v>3260.6745379682725</x:v>
      </x:c>
      <x:c r="I24" s="71"/>
      <x:c r="J24" s="71"/>
      <x:c r="K24" s="71"/>
      <x:c r="L24" s="99"/>
      <x:c r="M24" s="99"/>
      <x:c r="N24" s="99"/>
      <x:c r="O24" s="99"/>
      <x:c r="P24" s="99"/>
      <x:c r="Q24" s="99"/>
      <x:c r="R24" s="99"/>
      <x:c r="S24" s="99"/>
      <x:c r="T24" s="123" t="str">
        <x:v>FY:30E</x:v>
      </x:c>
      <x:c r="U24" s="123" t="n">
        <x:f>G22</x:f>
        <x:v>21199.197818580004</x:v>
      </x:c>
      <x:c r="V24" s="123" t="n">
        <x:f>G23</x:f>
        <x:v>6338.560147755419</x:v>
      </x:c>
    </x:row>
    <x:row r="25">
      <x:c r="A25" s="71"/>
      <x:c r="B25" s="71"/>
      <x:c r="C25" s="71" t="str">
        <x:v>Net debt</x:v>
      </x:c>
      <x:c r="D25" s="101" t="n">
        <x:f>'Three Statements'!G86</x:f>
        <x:v>19823.333085250004</x:v>
      </x:c>
      <x:c r="E25" s="101" t="n">
        <x:f>'Three Statements'!H86</x:f>
        <x:v>19284.23195575625</x:v>
      </x:c>
      <x:c r="F25" s="101" t="n">
        <x:f>'Three Statements'!I86</x:f>
        <x:v>18710.88619325179</x:v>
      </x:c>
      <x:c r="G25" s="101" t="n">
        <x:f>'Three Statements'!J86</x:f>
        <x:v>18127.128488612278</x:v>
      </x:c>
      <x:c r="H25" s="101" t="n">
        <x:f>'Three Statements'!K86</x:f>
        <x:v>17612.457079969376</x:v>
      </x:c>
      <x:c r="I25" s="71"/>
      <x:c r="J25" s="71"/>
      <x:c r="K25" s="71"/>
      <x:c r="L25" s="99"/>
      <x:c r="M25" s="99"/>
      <x:c r="N25" s="99"/>
      <x:c r="O25" s="99"/>
      <x:c r="P25" s="99"/>
      <x:c r="Q25" s="99"/>
      <x:c r="R25" s="99"/>
      <x:c r="S25" s="99"/>
      <x:c r="T25" s="123" t="str">
        <x:v>FY:31E</x:v>
      </x:c>
      <x:c r="U25" s="123" t="n">
        <x:f>H22</x:f>
        <x:v>21931.293946529404</x:v>
      </x:c>
      <x:c r="V25" s="123" t="n">
        <x:f>H23</x:f>
        <x:v>6623.250771851879</x:v>
      </x:c>
    </x:row>
    <x:row r="26">
      <x:c r="A26" s="71"/>
      <x:c r="B26" s="71"/>
      <x:c r="C26" s="71"/>
      <x:c r="D26" s="71"/>
      <x:c r="E26" s="71"/>
      <x:c r="F26" s="71"/>
      <x:c r="G26" s="71"/>
      <x:c r="H26" s="71"/>
      <x:c r="I26" s="71"/>
      <x:c r="J26" s="71"/>
      <x:c r="K26" s="71"/>
      <x:c r="L26" s="99"/>
      <x:c r="M26" s="99"/>
      <x:c r="N26" s="99"/>
      <x:c r="O26" s="99"/>
      <x:c r="P26" s="99"/>
      <x:c r="Q26" s="99"/>
      <x:c r="R26" s="99"/>
      <x:c r="S26" s="99"/>
      <x:c r="T26" s="123"/>
      <x:c r="U26" s="123"/>
      <x:c r="V26" s="123"/>
    </x:row>
    <x:row r="27">
      <x:c r="A27" s="71"/>
      <x:c r="B27" s="71"/>
      <x:c r="C27" s="71"/>
      <x:c r="D27" s="71"/>
      <x:c r="E27" s="71"/>
      <x:c r="F27" s="71"/>
      <x:c r="G27" s="71"/>
      <x:c r="H27" s="71"/>
      <x:c r="I27" s="71"/>
      <x:c r="J27" s="71"/>
      <x:c r="K27" s="71"/>
      <x:c r="L27" s="99"/>
      <x:c r="M27" s="99"/>
      <x:c r="N27" s="99"/>
      <x:c r="O27" s="99"/>
      <x:c r="P27" s="99"/>
      <x:c r="Q27" s="99"/>
      <x:c r="R27" s="99"/>
      <x:c r="S27" s="99"/>
      <x:c r="T27" s="123"/>
      <x:c r="U27" s="123"/>
      <x:c r="V27" s="123"/>
    </x:row>
    <x:row r="28">
      <x:c r="A28" s="71"/>
      <x:c r="B28" s="71"/>
      <x:c r="C28" s="71"/>
      <x:c r="D28" s="71"/>
      <x:c r="E28" s="71"/>
      <x:c r="F28" s="71"/>
      <x:c r="G28" s="71"/>
      <x:c r="H28" s="71"/>
      <x:c r="I28" s="71"/>
      <x:c r="J28" s="71"/>
      <x:c r="K28" s="71"/>
      <x:c r="L28" s="99"/>
      <x:c r="M28" s="99"/>
      <x:c r="N28" s="99"/>
      <x:c r="O28" s="99"/>
      <x:c r="P28" s="99"/>
      <x:c r="Q28" s="99"/>
      <x:c r="R28" s="99"/>
      <x:c r="S28" s="99"/>
      <x:c r="T28" s="123" t="str">
        <x:v>Year</x:v>
      </x:c>
      <x:c r="U28" s="123" t="str">
        <x:v>Free cash flow</x:v>
      </x:c>
      <x:c r="V28" s="123" t="str">
        <x:v>Net debt</x:v>
      </x:c>
    </x:row>
    <x:row r="29">
      <x:c r="A29" s="71"/>
      <x:c r="B29" s="71"/>
      <x:c r="C29" s="71"/>
      <x:c r="D29" s="71"/>
      <x:c r="E29" s="71"/>
      <x:c r="F29" s="71"/>
      <x:c r="G29" s="71"/>
      <x:c r="H29" s="71"/>
      <x:c r="I29" s="71"/>
      <x:c r="J29" s="71"/>
      <x:c r="K29" s="71"/>
      <x:c r="L29" s="99"/>
      <x:c r="M29" s="99"/>
      <x:c r="N29" s="99"/>
      <x:c r="O29" s="99"/>
      <x:c r="P29" s="99"/>
      <x:c r="Q29" s="99"/>
      <x:c r="R29" s="99"/>
      <x:c r="S29" s="99"/>
      <x:c r="T29" s="123" t="str">
        <x:v>FY:27E</x:v>
      </x:c>
      <x:c r="U29" s="123" t="n">
        <x:f>D24</x:f>
        <x:v>1862.3135324999973</x:v>
      </x:c>
      <x:c r="V29" s="123" t="n">
        <x:f>D25</x:f>
        <x:v>19823.333085250004</x:v>
      </x:c>
    </x:row>
    <x:row r="30">
      <x:c r="A30" s="71"/>
      <x:c r="B30" s="71"/>
      <x:c r="C30" s="71"/>
      <x:c r="D30" s="71"/>
      <x:c r="E30" s="71"/>
      <x:c r="F30" s="71"/>
      <x:c r="G30" s="71"/>
      <x:c r="H30" s="71"/>
      <x:c r="I30" s="71"/>
      <x:c r="J30" s="71"/>
      <x:c r="K30" s="71"/>
      <x:c r="L30" s="99"/>
      <x:c r="M30" s="99"/>
      <x:c r="N30" s="99"/>
      <x:c r="O30" s="99"/>
      <x:c r="P30" s="99"/>
      <x:c r="Q30" s="99"/>
      <x:c r="R30" s="99"/>
      <x:c r="S30" s="99"/>
      <x:c r="T30" s="123" t="str">
        <x:v>FY:28E</x:v>
      </x:c>
      <x:c r="U30" s="123" t="n">
        <x:f>E24</x:f>
        <x:v>2652.6594296625035</x:v>
      </x:c>
      <x:c r="V30" s="123" t="n">
        <x:f>E25</x:f>
        <x:v>19284.23195575625</x:v>
      </x:c>
    </x:row>
    <x:row r="31">
      <x:c r="A31" s="71"/>
      <x:c r="B31" s="71"/>
      <x:c r="C31" s="71"/>
      <x:c r="D31" s="71"/>
      <x:c r="E31" s="71"/>
      <x:c r="F31" s="71"/>
      <x:c r="G31" s="71"/>
      <x:c r="H31" s="71"/>
      <x:c r="I31" s="71"/>
      <x:c r="J31" s="71"/>
      <x:c r="K31" s="71"/>
      <x:c r="L31" s="99"/>
      <x:c r="M31" s="99"/>
      <x:c r="N31" s="99"/>
      <x:c r="O31" s="99"/>
      <x:c r="P31" s="99"/>
      <x:c r="Q31" s="99"/>
      <x:c r="R31" s="99"/>
      <x:c r="S31" s="99"/>
      <x:c r="T31" s="123" t="str">
        <x:v>FY:29E</x:v>
      </x:c>
      <x:c r="U31" s="123" t="n">
        <x:f>F24</x:f>
        <x:v>2966.1070987130606</x:v>
      </x:c>
      <x:c r="V31" s="123" t="n">
        <x:f>F25</x:f>
        <x:v>18710.88619325179</x:v>
      </x:c>
    </x:row>
    <x:row r="32">
      <x:c r="A32" s="71"/>
      <x:c r="B32" s="71"/>
      <x:c r="C32" s="71"/>
      <x:c r="D32" s="71"/>
      <x:c r="E32" s="71"/>
      <x:c r="F32" s="71"/>
      <x:c r="G32" s="71"/>
      <x:c r="H32" s="71"/>
      <x:c r="I32" s="71"/>
      <x:c r="J32" s="71"/>
      <x:c r="K32" s="71"/>
      <x:c r="L32" s="99"/>
      <x:c r="M32" s="99"/>
      <x:c r="N32" s="99"/>
      <x:c r="O32" s="99"/>
      <x:c r="P32" s="99"/>
      <x:c r="Q32" s="99"/>
      <x:c r="R32" s="99"/>
      <x:c r="S32" s="99"/>
      <x:c r="T32" s="123" t="str">
        <x:v>FY:30E</x:v>
      </x:c>
      <x:c r="U32" s="123" t="n">
        <x:f>G24</x:f>
        <x:v>3176.189845842615</x:v>
      </x:c>
      <x:c r="V32" s="123" t="n">
        <x:f>G25</x:f>
        <x:v>18127.128488612278</x:v>
      </x:c>
    </x:row>
    <x:row r="33">
      <x:c r="A33" s="71"/>
      <x:c r="B33" s="71"/>
      <x:c r="C33" s="71"/>
      <x:c r="D33" s="71"/>
      <x:c r="E33" s="71"/>
      <x:c r="F33" s="71"/>
      <x:c r="G33" s="71"/>
      <x:c r="H33" s="71"/>
      <x:c r="I33" s="71"/>
      <x:c r="J33" s="71"/>
      <x:c r="K33" s="71"/>
      <x:c r="L33" s="99"/>
      <x:c r="M33" s="99"/>
      <x:c r="N33" s="99"/>
      <x:c r="O33" s="99"/>
      <x:c r="P33" s="99"/>
      <x:c r="Q33" s="99"/>
      <x:c r="R33" s="99"/>
      <x:c r="S33" s="99"/>
      <x:c r="T33" s="123" t="str">
        <x:v>FY:31E</x:v>
      </x:c>
      <x:c r="U33" s="123" t="n">
        <x:f>H24</x:f>
        <x:v>3260.6745379682725</x:v>
      </x:c>
      <x:c r="V33" s="123" t="n">
        <x:f>H25</x:f>
        <x:v>17612.457079969376</x:v>
      </x:c>
    </x:row>
    <x:row r="34">
      <x:c r="A34" s="71"/>
      <x:c r="B34" s="71"/>
      <x:c r="C34" s="71"/>
      <x:c r="D34" s="71"/>
      <x:c r="E34" s="71"/>
      <x:c r="F34" s="71"/>
      <x:c r="G34" s="71"/>
      <x:c r="H34" s="71"/>
      <x:c r="I34" s="71"/>
      <x:c r="J34" s="71"/>
      <x:c r="K34" s="71"/>
      <x:c r="L34" s="99"/>
      <x:c r="M34" s="99"/>
      <x:c r="N34" s="99"/>
      <x:c r="O34" s="99"/>
      <x:c r="P34" s="99"/>
      <x:c r="Q34" s="99"/>
      <x:c r="R34" s="99"/>
      <x:c r="S34" s="99"/>
      <x:c r="T34" s="99"/>
      <x:c r="U34" s="99"/>
      <x:c r="V34" s="99"/>
    </x:row>
    <x:row r="35">
      <x:c r="A35" s="71"/>
      <x:c r="B35" s="71"/>
      <x:c r="C35" s="71"/>
      <x:c r="D35" s="71"/>
      <x:c r="E35" s="71"/>
      <x:c r="F35" s="71"/>
      <x:c r="G35" s="71"/>
      <x:c r="H35" s="71"/>
      <x:c r="I35" s="71"/>
      <x:c r="J35" s="71"/>
      <x:c r="K35" s="71"/>
      <x:c r="L35" s="99"/>
      <x:c r="M35" s="99"/>
      <x:c r="N35" s="99"/>
      <x:c r="O35" s="99"/>
      <x:c r="P35" s="99"/>
      <x:c r="Q35" s="99"/>
      <x:c r="R35" s="99"/>
      <x:c r="S35" s="99"/>
      <x:c r="T35" s="99"/>
      <x:c r="U35" s="99"/>
      <x:c r="V35" s="99"/>
    </x:row>
    <x:row r="36">
      <x:c r="A36" s="71"/>
      <x:c r="B36" s="71"/>
      <x:c r="C36" s="71"/>
      <x:c r="D36" s="71"/>
      <x:c r="E36" s="71"/>
      <x:c r="F36" s="71"/>
      <x:c r="G36" s="71"/>
      <x:c r="H36" s="71"/>
      <x:c r="I36" s="71"/>
      <x:c r="J36" s="71"/>
      <x:c r="K36" s="71"/>
      <x:c r="L36" s="99"/>
      <x:c r="M36" s="99"/>
      <x:c r="N36" s="99"/>
      <x:c r="O36" s="99"/>
      <x:c r="P36" s="99"/>
      <x:c r="Q36" s="99"/>
      <x:c r="R36" s="99"/>
      <x:c r="S36" s="99"/>
      <x:c r="T36" s="99"/>
      <x:c r="U36" s="99"/>
      <x:c r="V36" s="99"/>
    </x:row>
    <x:row r="37">
      <x:c r="A37" s="71"/>
      <x:c r="B37" s="71"/>
      <x:c r="C37" s="71"/>
      <x:c r="D37" s="71"/>
      <x:c r="E37" s="71"/>
      <x:c r="F37" s="71"/>
      <x:c r="G37" s="71"/>
      <x:c r="H37" s="71"/>
      <x:c r="I37" s="71"/>
      <x:c r="J37" s="71"/>
      <x:c r="K37" s="71"/>
      <x:c r="L37" s="99"/>
      <x:c r="M37" s="99"/>
      <x:c r="N37" s="99"/>
      <x:c r="O37" s="99"/>
      <x:c r="P37" s="99"/>
      <x:c r="Q37" s="99"/>
      <x:c r="R37" s="99"/>
      <x:c r="S37" s="99"/>
      <x:c r="T37" s="99"/>
      <x:c r="U37" s="99"/>
      <x:c r="V37" s="99"/>
    </x:row>
    <x:row r="38">
      <x:c r="A38" s="71"/>
      <x:c r="B38" s="71"/>
      <x:c r="C38" s="71"/>
      <x:c r="D38" s="71"/>
      <x:c r="E38" s="71"/>
      <x:c r="F38" s="71"/>
      <x:c r="G38" s="71"/>
      <x:c r="H38" s="71"/>
      <x:c r="I38" s="71"/>
      <x:c r="J38" s="71"/>
      <x:c r="K38" s="71"/>
      <x:c r="L38" s="99"/>
      <x:c r="M38" s="99"/>
      <x:c r="N38" s="99"/>
      <x:c r="O38" s="99"/>
      <x:c r="P38" s="99"/>
      <x:c r="Q38" s="99"/>
      <x:c r="R38" s="99"/>
      <x:c r="S38" s="99"/>
      <x:c r="T38" s="99"/>
      <x:c r="U38" s="99"/>
      <x:c r="V38" s="99"/>
    </x:row>
    <x:row r="39">
      <x:c r="A39" s="71"/>
      <x:c r="B39" s="71"/>
      <x:c r="C39" s="71"/>
      <x:c r="D39" s="71"/>
      <x:c r="E39" s="71"/>
      <x:c r="F39" s="71"/>
      <x:c r="G39" s="71"/>
      <x:c r="H39" s="71"/>
      <x:c r="I39" s="71"/>
      <x:c r="J39" s="71"/>
      <x:c r="K39" s="71"/>
      <x:c r="L39" s="99"/>
      <x:c r="M39" s="99"/>
      <x:c r="N39" s="99"/>
      <x:c r="O39" s="99"/>
      <x:c r="P39" s="99"/>
      <x:c r="Q39" s="99"/>
      <x:c r="R39" s="99"/>
      <x:c r="S39" s="99"/>
      <x:c r="T39" s="99"/>
      <x:c r="U39" s="99"/>
      <x:c r="V39" s="99"/>
    </x:row>
    <x:row r="40">
      <x:c r="A40" s="71"/>
      <x:c r="B40" s="71"/>
      <x:c r="C40" s="71"/>
      <x:c r="D40" s="71"/>
      <x:c r="E40" s="71"/>
      <x:c r="F40" s="71"/>
      <x:c r="G40" s="71"/>
      <x:c r="H40" s="71"/>
      <x:c r="I40" s="71"/>
      <x:c r="J40" s="71"/>
      <x:c r="K40" s="71"/>
      <x:c r="L40" s="99"/>
      <x:c r="M40" s="99"/>
      <x:c r="N40" s="99"/>
      <x:c r="O40" s="99"/>
      <x:c r="P40" s="99"/>
      <x:c r="Q40" s="99"/>
      <x:c r="R40" s="99"/>
      <x:c r="S40" s="99"/>
      <x:c r="T40" s="99"/>
      <x:c r="U40" s="99"/>
      <x:c r="V40" s="99"/>
    </x:row>
    <x:row r="41">
      <x:c r="A41" s="71"/>
      <x:c r="B41" s="71"/>
      <x:c r="C41" s="71"/>
      <x:c r="D41" s="71"/>
      <x:c r="E41" s="71"/>
      <x:c r="F41" s="71"/>
      <x:c r="G41" s="71"/>
      <x:c r="H41" s="71"/>
      <x:c r="I41" s="71"/>
      <x:c r="J41" s="71"/>
      <x:c r="K41" s="71"/>
      <x:c r="L41" s="99"/>
      <x:c r="M41" s="99"/>
      <x:c r="N41" s="99"/>
      <x:c r="O41" s="99"/>
      <x:c r="P41" s="99"/>
      <x:c r="Q41" s="99"/>
      <x:c r="R41" s="99"/>
      <x:c r="S41" s="99"/>
      <x:c r="T41" s="99"/>
      <x:c r="U41" s="99"/>
      <x:c r="V41" s="99"/>
    </x:row>
    <x:row r="42">
      <x:c r="A42" s="71"/>
      <x:c r="B42" s="71"/>
      <x:c r="C42" s="71"/>
      <x:c r="D42" s="71"/>
      <x:c r="E42" s="71"/>
      <x:c r="F42" s="71"/>
      <x:c r="G42" s="71"/>
      <x:c r="H42" s="71"/>
      <x:c r="I42" s="71"/>
      <x:c r="J42" s="71"/>
      <x:c r="K42" s="71"/>
      <x:c r="L42" s="99"/>
      <x:c r="M42" s="99"/>
      <x:c r="N42" s="99"/>
      <x:c r="O42" s="99"/>
      <x:c r="P42" s="99"/>
      <x:c r="Q42" s="99"/>
      <x:c r="R42" s="99"/>
      <x:c r="S42" s="99"/>
      <x:c r="T42" s="99"/>
      <x:c r="U42" s="99"/>
      <x:c r="V42" s="99"/>
    </x:row>
    <x:row r="43">
      <x:c r="A43" s="71"/>
      <x:c r="B43" s="71"/>
      <x:c r="C43" s="71"/>
      <x:c r="D43" s="71"/>
      <x:c r="E43" s="71"/>
      <x:c r="F43" s="71"/>
      <x:c r="G43" s="71"/>
      <x:c r="H43" s="71"/>
      <x:c r="I43" s="71"/>
      <x:c r="J43" s="71"/>
      <x:c r="K43" s="71"/>
      <x:c r="L43" s="99"/>
      <x:c r="M43" s="99"/>
      <x:c r="N43" s="99"/>
      <x:c r="O43" s="99"/>
      <x:c r="P43" s="99"/>
      <x:c r="Q43" s="99"/>
      <x:c r="R43" s="99"/>
      <x:c r="S43" s="99"/>
      <x:c r="T43" s="99"/>
      <x:c r="U43" s="99"/>
      <x:c r="V43" s="99"/>
    </x:row>
    <x:row r="44">
      <x:c r="A44" s="71"/>
      <x:c r="B44" s="71"/>
      <x:c r="C44" s="71"/>
      <x:c r="D44" s="71"/>
      <x:c r="E44" s="71"/>
      <x:c r="F44" s="71"/>
      <x:c r="G44" s="71"/>
      <x:c r="H44" s="71"/>
      <x:c r="I44" s="71"/>
      <x:c r="J44" s="71"/>
      <x:c r="K44" s="71"/>
      <x:c r="L44" s="99"/>
      <x:c r="M44" s="99"/>
      <x:c r="N44" s="99"/>
      <x:c r="O44" s="99"/>
      <x:c r="P44" s="99"/>
      <x:c r="Q44" s="99"/>
      <x:c r="R44" s="99"/>
      <x:c r="S44" s="99"/>
      <x:c r="T44" s="99"/>
      <x:c r="U44" s="99"/>
      <x:c r="V44" s="99"/>
    </x:row>
    <x:row r="45">
      <x:c r="A45" s="71"/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99"/>
      <x:c r="M45" s="99"/>
      <x:c r="N45" s="99"/>
      <x:c r="O45" s="99"/>
      <x:c r="P45" s="99"/>
      <x:c r="Q45" s="99"/>
      <x:c r="R45" s="99"/>
      <x:c r="S45" s="99"/>
      <x:c r="T45" s="99"/>
      <x:c r="U45" s="99"/>
      <x:c r="V45" s="99"/>
    </x:row>
    <x:row r="46">
      <x:c r="A46" s="71"/>
      <x:c r="B46" s="71"/>
      <x:c r="C46" s="71"/>
      <x:c r="D46" s="71"/>
      <x:c r="E46" s="71"/>
      <x:c r="F46" s="71"/>
      <x:c r="G46" s="71"/>
      <x:c r="H46" s="71"/>
      <x:c r="I46" s="71"/>
      <x:c r="J46" s="71"/>
      <x:c r="K46" s="71"/>
      <x:c r="L46" s="99"/>
      <x:c r="M46" s="99"/>
      <x:c r="N46" s="99"/>
      <x:c r="O46" s="99"/>
      <x:c r="P46" s="99"/>
      <x:c r="Q46" s="99"/>
      <x:c r="R46" s="99"/>
      <x:c r="S46" s="99"/>
      <x:c r="T46" s="99"/>
      <x:c r="U46" s="99"/>
      <x:c r="V46" s="99"/>
    </x:row>
    <x:row r="47">
      <x:c r="A47" s="71"/>
      <x:c r="B47" s="71"/>
      <x:c r="C47" s="75" t="str">
        <x:v>Interpretation</x:v>
      </x:c>
      <x:c r="D47" s="75"/>
      <x:c r="E47" s="75"/>
      <x:c r="F47" s="75"/>
      <x:c r="G47" s="75"/>
      <x:c r="H47" s="75"/>
      <x:c r="I47" s="71"/>
      <x:c r="J47" s="71"/>
      <x:c r="K47" s="71"/>
      <x:c r="L47" s="99"/>
      <x:c r="M47" s="99"/>
      <x:c r="N47" s="99"/>
      <x:c r="O47" s="99"/>
      <x:c r="P47" s="99"/>
      <x:c r="Q47" s="99"/>
      <x:c r="R47" s="99"/>
      <x:c r="S47" s="99"/>
      <x:c r="T47" s="99"/>
      <x:c r="U47" s="99"/>
      <x:c r="V47" s="99"/>
    </x:row>
    <x:row r="48">
      <x:c r="A48" s="71"/>
      <x:c r="B48" s="71"/>
      <x:c r="C48" s="71"/>
      <x:c r="D48" s="71"/>
      <x:c r="E48" s="71"/>
      <x:c r="F48" s="71"/>
      <x:c r="G48" s="71"/>
      <x:c r="H48" s="71"/>
      <x:c r="I48" s="71"/>
      <x:c r="J48" s="71"/>
      <x:c r="K48" s="71"/>
      <x:c r="L48" s="99"/>
      <x:c r="M48" s="99"/>
      <x:c r="N48" s="99"/>
      <x:c r="O48" s="99"/>
      <x:c r="P48" s="99"/>
      <x:c r="Q48" s="99"/>
      <x:c r="R48" s="99"/>
      <x:c r="S48" s="99"/>
      <x:c r="T48" s="99"/>
      <x:c r="U48" s="99"/>
      <x:c r="V48" s="99"/>
    </x:row>
    <x:row r="49">
      <x:c r="A49" s="71"/>
      <x:c r="B49" s="71"/>
      <x:c r="C49" s="76" t="str">
        <x:v>Revenue</x:v>
      </x:c>
      <x:c r="D49" s="79" t="str">
        <x:v>FY2027 stabilises; growth resumes from FY2028.</x:v>
      </x:c>
      <x:c r="E49" s="79"/>
      <x:c r="F49" s="79"/>
      <x:c r="G49" s="79"/>
      <x:c r="H49" s="79"/>
      <x:c r="I49" s="71"/>
      <x:c r="J49" s="71"/>
      <x:c r="K49" s="71"/>
      <x:c r="L49" s="99"/>
      <x:c r="M49" s="99"/>
      <x:c r="N49" s="99"/>
      <x:c r="O49" s="99"/>
      <x:c r="P49" s="99"/>
      <x:c r="Q49" s="99"/>
      <x:c r="R49" s="99"/>
      <x:c r="S49" s="99"/>
      <x:c r="T49" s="99"/>
      <x:c r="U49" s="99"/>
      <x:c r="V49" s="99"/>
    </x:row>
    <x:row r="50">
      <x:c r="A50" s="71"/>
      <x:c r="B50" s="71"/>
      <x:c r="C50" s="76" t="str">
        <x:v>Margins</x:v>
      </x:c>
      <x:c r="D50" s="79" t="str">
        <x:v>Cost actions support gradual adjusted-margin recovery.</x:v>
      </x:c>
      <x:c r="E50" s="79"/>
      <x:c r="F50" s="79"/>
      <x:c r="G50" s="79"/>
      <x:c r="H50" s="79"/>
      <x:c r="I50" s="71"/>
      <x:c r="J50" s="71"/>
      <x:c r="K50" s="71"/>
      <x:c r="L50" s="99"/>
      <x:c r="M50" s="99"/>
      <x:c r="N50" s="99"/>
      <x:c r="O50" s="99"/>
      <x:c r="P50" s="99"/>
      <x:c r="Q50" s="99"/>
      <x:c r="R50" s="99"/>
      <x:c r="S50" s="99"/>
      <x:c r="T50" s="99"/>
      <x:c r="U50" s="99"/>
      <x:c r="V50" s="99"/>
    </x:row>
    <x:row r="51">
      <x:c r="A51" s="71"/>
      <x:c r="B51" s="71"/>
      <x:c r="C51" s="76" t="str">
        <x:v>Cash flow</x:v>
      </x:c>
      <x:c r="D51" s="79" t="str">
        <x:v>Working capital and capex constrain near-term cash flow.</x:v>
      </x:c>
      <x:c r="E51" s="79"/>
      <x:c r="F51" s="79"/>
      <x:c r="G51" s="79"/>
      <x:c r="H51" s="79"/>
      <x:c r="I51" s="71"/>
      <x:c r="J51" s="71"/>
      <x:c r="K51" s="71"/>
      <x:c r="L51" s="99"/>
      <x:c r="M51" s="99"/>
      <x:c r="N51" s="99"/>
      <x:c r="O51" s="99"/>
      <x:c r="P51" s="99"/>
      <x:c r="Q51" s="99"/>
      <x:c r="R51" s="99"/>
      <x:c r="S51" s="99"/>
      <x:c r="T51" s="99"/>
      <x:c r="U51" s="99"/>
      <x:c r="V51" s="99"/>
    </x:row>
    <x:row r="52">
      <x:c r="A52" s="71"/>
      <x:c r="B52" s="71"/>
      <x:c r="C52" s="76" t="str">
        <x:v>Leverage</x:v>
      </x:c>
      <x:c r="D52" s="79" t="str">
        <x:v>Minimum cash is protected; leverage declines gradually.</x:v>
      </x:c>
      <x:c r="E52" s="79"/>
      <x:c r="F52" s="79"/>
      <x:c r="G52" s="79"/>
      <x:c r="H52" s="79"/>
      <x:c r="I52" s="71"/>
      <x:c r="J52" s="71"/>
      <x:c r="K52" s="71"/>
      <x:c r="L52" s="99"/>
      <x:c r="M52" s="99"/>
      <x:c r="N52" s="99"/>
      <x:c r="O52" s="99"/>
      <x:c r="P52" s="99"/>
      <x:c r="Q52" s="99"/>
      <x:c r="R52" s="99"/>
      <x:c r="S52" s="99"/>
      <x:c r="T52" s="99"/>
      <x:c r="U52" s="99"/>
      <x:c r="V52" s="99"/>
    </x:row>
    <x:row r="53">
      <x:c r="A53" s="71"/>
      <x:c r="B53" s="71"/>
      <x:c r="C53" s="76" t="str">
        <x:v>Limitation</x:v>
      </x:c>
      <x:c r="D53" s="79" t="str">
        <x:v>FX, disposals, leases and tax are simplified.</x:v>
      </x:c>
      <x:c r="E53" s="79"/>
      <x:c r="F53" s="79"/>
      <x:c r="G53" s="79"/>
      <x:c r="H53" s="79"/>
      <x:c r="I53" s="71"/>
      <x:c r="J53" s="71"/>
      <x:c r="K53" s="71"/>
      <x:c r="L53" s="99"/>
      <x:c r="M53" s="99"/>
      <x:c r="N53" s="99"/>
      <x:c r="O53" s="99"/>
      <x:c r="P53" s="99"/>
      <x:c r="Q53" s="99"/>
      <x:c r="R53" s="99"/>
      <x:c r="S53" s="99"/>
      <x:c r="T53" s="99"/>
      <x:c r="U53" s="99"/>
      <x:c r="V53" s="99"/>
    </x:row>
    <x:row r="54">
      <x:c r="A54" s="71"/>
      <x:c r="B54" s="71"/>
      <x:c r="C54" s="71"/>
      <x:c r="D54" s="71"/>
      <x:c r="E54" s="71"/>
      <x:c r="F54" s="71"/>
      <x:c r="G54" s="71"/>
      <x:c r="H54" s="71"/>
      <x:c r="I54" s="71"/>
      <x:c r="J54" s="71"/>
      <x:c r="K54" s="71"/>
      <x:c r="L54" s="99"/>
      <x:c r="M54" s="99"/>
      <x:c r="N54" s="99"/>
      <x:c r="O54" s="99"/>
      <x:c r="P54" s="99"/>
      <x:c r="Q54" s="99"/>
      <x:c r="R54" s="99"/>
      <x:c r="S54" s="99"/>
      <x:c r="T54" s="99"/>
      <x:c r="U54" s="99"/>
      <x:c r="V54" s="99"/>
    </x:row>
    <x:row r="55">
      <x:c r="A55" s="71"/>
      <x:c r="B55" s="71"/>
      <x:c r="C55" s="71"/>
      <x:c r="D55" s="71"/>
      <x:c r="E55" s="71"/>
      <x:c r="F55" s="71"/>
      <x:c r="G55" s="71"/>
      <x:c r="H55" s="71"/>
      <x:c r="I55" s="71"/>
      <x:c r="J55" s="71"/>
      <x:c r="K55" s="71"/>
      <x:c r="L55" s="99"/>
      <x:c r="M55" s="99"/>
      <x:c r="N55" s="99"/>
      <x:c r="O55" s="99"/>
      <x:c r="P55" s="99"/>
      <x:c r="Q55" s="99"/>
      <x:c r="R55" s="99"/>
      <x:c r="S55" s="99"/>
      <x:c r="T55" s="99"/>
      <x:c r="U55" s="99"/>
      <x:c r="V55" s="99"/>
    </x:row>
    <x:row r="56">
      <x:c r="A56" s="71"/>
      <x:c r="B56" s="71"/>
      <x:c r="C56" s="71"/>
      <x:c r="D56" s="71"/>
      <x:c r="E56" s="71"/>
      <x:c r="F56" s="71"/>
      <x:c r="G56" s="71"/>
      <x:c r="H56" s="71"/>
      <x:c r="I56" s="71"/>
      <x:c r="J56" s="71"/>
      <x:c r="K56" s="71"/>
      <x:c r="L56" s="99"/>
      <x:c r="M56" s="99"/>
      <x:c r="N56" s="99"/>
      <x:c r="O56" s="99"/>
      <x:c r="P56" s="99"/>
      <x:c r="Q56" s="99"/>
      <x:c r="R56" s="99"/>
      <x:c r="S56" s="99"/>
      <x:c r="T56" s="99"/>
      <x:c r="U56" s="99"/>
      <x:c r="V56" s="99"/>
    </x:row>
    <x:row r="57">
      <x:c r="A57" s="71"/>
      <x:c r="B57" s="71"/>
      <x:c r="C57" s="71"/>
      <x:c r="D57" s="71"/>
      <x:c r="E57" s="71"/>
      <x:c r="F57" s="71"/>
      <x:c r="G57" s="71"/>
      <x:c r="H57" s="71"/>
      <x:c r="I57" s="71"/>
      <x:c r="J57" s="71"/>
      <x:c r="K57" s="71"/>
      <x:c r="L57" s="99"/>
      <x:c r="M57" s="99"/>
      <x:c r="N57" s="99"/>
      <x:c r="O57" s="99"/>
      <x:c r="P57" s="99"/>
      <x:c r="Q57" s="99"/>
      <x:c r="R57" s="99"/>
      <x:c r="S57" s="99"/>
      <x:c r="T57" s="99"/>
      <x:c r="U57" s="99"/>
      <x:c r="V57" s="99"/>
    </x:row>
    <x:row r="58">
      <x:c r="A58" s="71"/>
      <x:c r="B58" s="71"/>
      <x:c r="C58" s="71"/>
      <x:c r="D58" s="71"/>
      <x:c r="E58" s="71"/>
      <x:c r="F58" s="71"/>
      <x:c r="G58" s="71"/>
      <x:c r="H58" s="71"/>
      <x:c r="I58" s="71"/>
      <x:c r="J58" s="71"/>
      <x:c r="K58" s="71"/>
      <x:c r="L58" s="99"/>
      <x:c r="M58" s="99"/>
      <x:c r="N58" s="99"/>
      <x:c r="O58" s="99"/>
      <x:c r="P58" s="99"/>
      <x:c r="Q58" s="99"/>
      <x:c r="R58" s="99"/>
      <x:c r="S58" s="99"/>
      <x:c r="T58" s="99"/>
      <x:c r="U58" s="99"/>
      <x:c r="V58" s="99"/>
    </x:row>
    <x:row r="59">
      <x:c r="A59" s="71"/>
      <x:c r="B59" s="71"/>
      <x:c r="C59" s="71"/>
      <x:c r="D59" s="71"/>
      <x:c r="E59" s="71"/>
      <x:c r="F59" s="71"/>
      <x:c r="G59" s="71"/>
      <x:c r="H59" s="71"/>
      <x:c r="I59" s="71"/>
      <x:c r="J59" s="71"/>
      <x:c r="K59" s="71"/>
      <x:c r="L59" s="99"/>
      <x:c r="M59" s="99"/>
      <x:c r="N59" s="99"/>
      <x:c r="O59" s="99"/>
      <x:c r="P59" s="99"/>
      <x:c r="Q59" s="99"/>
      <x:c r="R59" s="99"/>
      <x:c r="S59" s="99"/>
      <x:c r="T59" s="99"/>
      <x:c r="U59" s="99"/>
      <x:c r="V59" s="99"/>
    </x:row>
    <x:row r="60">
      <x:c r="A60" s="71"/>
      <x:c r="B60" s="71"/>
      <x:c r="C60" s="71"/>
      <x:c r="D60" s="71"/>
      <x:c r="E60" s="71"/>
      <x:c r="F60" s="71"/>
      <x:c r="G60" s="71"/>
      <x:c r="H60" s="71"/>
      <x:c r="I60" s="71"/>
      <x:c r="J60" s="71"/>
      <x:c r="K60" s="71"/>
      <x:c r="L60" s="99"/>
      <x:c r="M60" s="99"/>
      <x:c r="N60" s="99"/>
      <x:c r="O60" s="99"/>
      <x:c r="P60" s="99"/>
      <x:c r="Q60" s="99"/>
      <x:c r="R60" s="99"/>
      <x:c r="S60" s="99"/>
      <x:c r="T60" s="99"/>
      <x:c r="U60" s="99"/>
      <x:c r="V60" s="99"/>
    </x:row>
  </x:sheetData>
  <x:pageMargins left="0.7" right="0.7" top="0.75" bottom="0.75" header="0.3" footer="0.3"/>
  <x:drawing xmlns:r="http://schemas.openxmlformats.org/officeDocument/2006/relationships" r:id="R86f85d3e9a014b16"/>
</x:worksheet>
</file>

<file path=xl/worksheets/sheet10.xml><?xml version="1.0" encoding="utf-8"?>
<x:worksheet xmlns:x="http://schemas.openxmlformats.org/spreadsheetml/2006/main">
  <x:sheetPr>
    <x:tabColor rgb="FFA6A6A6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71"/>
      <x:c r="B1" s="71"/>
      <x:c r="C1" s="79"/>
      <x:c r="D1" s="71"/>
      <x:c r="E1" s="71"/>
      <x:c r="F1" s="71"/>
      <x:c r="G1" s="71"/>
      <x:c r="H1" s="71"/>
      <x:c r="I1" s="71"/>
      <x:c r="J1" s="71"/>
      <x:c r="K1" s="71"/>
    </x:row>
    <x:row r="2">
      <x:c r="A2" s="71"/>
      <x:c r="B2" s="71"/>
      <x:c r="C2" s="72" t="str">
        <x:v>Model checks</x:v>
      </x:c>
      <x:c r="D2" s="71"/>
      <x:c r="E2" s="71"/>
      <x:c r="F2" s="71"/>
      <x:c r="G2" s="71"/>
      <x:c r="H2" s="71"/>
      <x:c r="I2" s="71"/>
      <x:c r="J2" s="71"/>
      <x:c r="K2" s="71"/>
    </x:row>
    <x:row r="3">
      <x:c r="A3" s="71"/>
      <x:c r="B3" s="71"/>
      <x:c r="C3" s="73" t="str">
        <x:v>Independent reconciliations | Tolerance: US$0.1 million</x:v>
      </x:c>
      <x:c r="D3" s="73"/>
      <x:c r="E3" s="73"/>
      <x:c r="F3" s="73"/>
      <x:c r="G3" s="73"/>
      <x:c r="H3" s="73"/>
      <x:c r="I3" s="73"/>
      <x:c r="J3" s="73"/>
      <x:c r="K3" s="73"/>
    </x:row>
    <x:row r="4">
      <x:c r="A4" s="71"/>
      <x:c r="B4" s="71"/>
      <x:c r="C4" s="74"/>
      <x:c r="D4" s="74"/>
      <x:c r="E4" s="74"/>
      <x:c r="F4" s="74"/>
      <x:c r="G4" s="74"/>
      <x:c r="H4" s="74"/>
      <x:c r="I4" s="74"/>
      <x:c r="J4" s="74"/>
      <x:c r="K4" s="74"/>
    </x:row>
    <x:row r="5">
      <x:c r="A5" s="71"/>
      <x:c r="B5" s="71"/>
      <x:c r="C5" s="71"/>
      <x:c r="D5" s="71"/>
      <x:c r="E5" s="71"/>
      <x:c r="F5" s="71"/>
      <x:c r="G5" s="71"/>
      <x:c r="H5" s="71"/>
      <x:c r="I5" s="71"/>
      <x:c r="J5" s="71"/>
      <x:c r="K5" s="71"/>
    </x:row>
    <x:row r="6">
      <x:c r="A6" s="71"/>
      <x:c r="B6" s="71"/>
      <x:c r="C6" s="87" t="str">
        <x:v>Check</x:v>
      </x:c>
      <x:c r="D6" s="87" t="str">
        <x:v>Maximum absolute difference</x:v>
      </x:c>
      <x:c r="E6" s="87" t="str">
        <x:v>Tolerance</x:v>
      </x:c>
      <x:c r="F6" s="87" t="str">
        <x:v>Status</x:v>
      </x:c>
      <x:c r="G6" s="71"/>
      <x:c r="H6" s="71"/>
      <x:c r="I6" s="71"/>
      <x:c r="J6" s="71"/>
      <x:c r="K6" s="71"/>
    </x:row>
    <x:row r="7">
      <x:c r="A7" s="71"/>
      <x:c r="B7" s="71"/>
      <x:c r="C7" s="71" t="str">
        <x:v>Historical balance sheets</x:v>
      </x:c>
      <x:c r="D7" s="105" t="n">
        <x:f>MAX(ABS('Historicals'!D49),ABS('Historicals'!E49),ABS('Historicals'!F49))</x:f>
        <x:v>0</x:v>
      </x:c>
      <x:c r="E7" s="105" t="n">
        <x:v>0.1</x:v>
      </x:c>
      <x:c r="F7" s="71" t="str">
        <x:f>IF(D7&lt;=E7,"OK","ERROR")</x:f>
        <x:v>OK</x:v>
      </x:c>
      <x:c r="G7" s="71"/>
      <x:c r="H7" s="71"/>
      <x:c r="I7" s="71"/>
      <x:c r="J7" s="71"/>
      <x:c r="K7" s="71"/>
    </x:row>
    <x:row r="8">
      <x:c r="A8" s="71"/>
      <x:c r="B8" s="71"/>
      <x:c r="C8" s="71" t="str">
        <x:v>Forecast balance sheets</x:v>
      </x:c>
      <x:c r="D8" s="105" t="n">
        <x:f>MAX(ABS('Three Statements'!G53),ABS('Three Statements'!H53),ABS('Three Statements'!I53),ABS('Three Statements'!J53),ABS('Three Statements'!K53))</x:f>
        <x:v>1.4551915228366852e-11</x:v>
      </x:c>
      <x:c r="E8" s="105" t="n">
        <x:v>0.1</x:v>
      </x:c>
      <x:c r="F8" s="71" t="str">
        <x:f>IF(D8&lt;=E8,"OK","ERROR")</x:f>
        <x:v>OK</x:v>
      </x:c>
      <x:c r="G8" s="71"/>
      <x:c r="H8" s="71"/>
      <x:c r="I8" s="71"/>
      <x:c r="J8" s="71"/>
      <x:c r="K8" s="71"/>
    </x:row>
    <x:row r="9">
      <x:c r="A9" s="71"/>
      <x:c r="B9" s="71"/>
      <x:c r="C9" s="71" t="str">
        <x:v>Revenue build to operating model</x:v>
      </x:c>
      <x:c r="D9" s="105" t="n">
        <x:f>MAX(ABS('Revenue Build'!G15-'Operating Model'!G9),ABS('Revenue Build'!H15-'Operating Model'!H9),ABS('Revenue Build'!I15-'Operating Model'!I9),ABS('Revenue Build'!J15-'Operating Model'!J9),ABS('Revenue Build'!K15-'Operating Model'!K9))</x:f>
        <x:v>0</x:v>
      </x:c>
      <x:c r="E9" s="105" t="n">
        <x:v>0.1</x:v>
      </x:c>
      <x:c r="F9" s="71" t="str">
        <x:f>IF(D9&lt;=E9,"OK","ERROR")</x:f>
        <x:v>OK</x:v>
      </x:c>
      <x:c r="G9" s="71"/>
      <x:c r="H9" s="71"/>
      <x:c r="I9" s="71"/>
      <x:c r="J9" s="71"/>
      <x:c r="K9" s="71"/>
    </x:row>
    <x:row r="10">
      <x:c r="A10" s="71"/>
      <x:c r="B10" s="71"/>
      <x:c r="C10" s="71" t="str">
        <x:v>Net income to cash flow</x:v>
      </x:c>
      <x:c r="D10" s="105" t="n">
        <x:f>MAX(ABS('Three Statements'!G24-'Three Statements'!G58),ABS('Three Statements'!H24-'Three Statements'!H58),ABS('Three Statements'!I24-'Three Statements'!I58),ABS('Three Statements'!J24-'Three Statements'!J58),ABS('Three Statements'!K24-'Three Statements'!K58))</x:f>
        <x:v>0</x:v>
      </x:c>
      <x:c r="E10" s="105" t="n">
        <x:v>0.1</x:v>
      </x:c>
      <x:c r="F10" s="71" t="str">
        <x:f>IF(D10&lt;=E10,"OK","ERROR")</x:f>
        <x:v>OK</x:v>
      </x:c>
      <x:c r="G10" s="71"/>
      <x:c r="H10" s="71"/>
      <x:c r="I10" s="71"/>
      <x:c r="J10" s="71"/>
      <x:c r="K10" s="71"/>
    </x:row>
    <x:row r="11">
      <x:c r="A11" s="71"/>
      <x:c r="B11" s="71"/>
      <x:c r="C11" s="71" t="str">
        <x:v>Closing cash to balance sheet</x:v>
      </x:c>
      <x:c r="D11" s="105" t="n">
        <x:f>MAX(ABS('Three Statements'!G38-'Three Statements'!G78),ABS('Three Statements'!H38-'Three Statements'!H78),ABS('Three Statements'!I38-'Three Statements'!I78),ABS('Three Statements'!J38-'Three Statements'!J78),ABS('Three Statements'!K38-'Three Statements'!K78))</x:f>
        <x:v>0</x:v>
      </x:c>
      <x:c r="E11" s="105" t="n">
        <x:v>0.1</x:v>
      </x:c>
      <x:c r="F11" s="71" t="str">
        <x:f>IF(D11&lt;=E11,"OK","ERROR")</x:f>
        <x:v>OK</x:v>
      </x:c>
      <x:c r="G11" s="71"/>
      <x:c r="H11" s="71"/>
      <x:c r="I11" s="71"/>
      <x:c r="J11" s="71"/>
      <x:c r="K11" s="71"/>
    </x:row>
    <x:row r="12">
      <x:c r="A12" s="71"/>
      <x:c r="B12" s="71"/>
      <x:c r="C12" s="71" t="str">
        <x:v>Debt schedule to balance sheet</x:v>
      </x:c>
      <x:c r="D12" s="105" t="n">
        <x:f>MAX(ABS('Schedules'!G46-'Three Statements'!G41),ABS('Schedules'!H46-'Three Statements'!H41),ABS('Schedules'!I46-'Three Statements'!I41),ABS('Schedules'!J46-'Three Statements'!J41),ABS('Schedules'!K46-'Three Statements'!K41))</x:f>
        <x:v>0</x:v>
      </x:c>
      <x:c r="E12" s="105" t="n">
        <x:v>0.1</x:v>
      </x:c>
      <x:c r="F12" s="71" t="str">
        <x:f>IF(D12&lt;=E12,"OK","ERROR")</x:f>
        <x:v>OK</x:v>
      </x:c>
      <x:c r="G12" s="71"/>
      <x:c r="H12" s="71"/>
      <x:c r="I12" s="71"/>
      <x:c r="J12" s="71"/>
      <x:c r="K12" s="71"/>
    </x:row>
    <x:row r="13">
      <x:c r="A13" s="71"/>
      <x:c r="B13" s="71"/>
      <x:c r="C13" s="71" t="str">
        <x:v>Retained earnings schedule</x:v>
      </x:c>
      <x:c r="D13" s="105" t="n">
        <x:f>MAX(ABS('Schedules'!G56-'Three Statements'!G49),ABS('Schedules'!H56-'Three Statements'!H49),ABS('Schedules'!I56-'Three Statements'!I49),ABS('Schedules'!J56-'Three Statements'!J49),ABS('Schedules'!K56-'Three Statements'!K49))</x:f>
        <x:v>0</x:v>
      </x:c>
      <x:c r="E13" s="105" t="n">
        <x:v>0.1</x:v>
      </x:c>
      <x:c r="F13" s="71" t="str">
        <x:f>IF(D13&lt;=E13,"OK","ERROR")</x:f>
        <x:v>OK</x:v>
      </x:c>
      <x:c r="G13" s="71"/>
      <x:c r="H13" s="71"/>
      <x:c r="I13" s="71"/>
      <x:c r="J13" s="71"/>
      <x:c r="K13" s="71"/>
    </x:row>
    <x:row r="14">
      <x:c r="A14" s="71"/>
      <x:c r="B14" s="71"/>
      <x:c r="C14" s="71" t="str">
        <x:v>NCI schedule</x:v>
      </x:c>
      <x:c r="D14" s="105" t="n">
        <x:f>MAX(ABS('Schedules'!G61-'Three Statements'!G50),ABS('Schedules'!H61-'Three Statements'!H50),ABS('Schedules'!I61-'Three Statements'!I50),ABS('Schedules'!J61-'Three Statements'!J50),ABS('Schedules'!K61-'Three Statements'!K50))</x:f>
        <x:v>0</x:v>
      </x:c>
      <x:c r="E14" s="105" t="n">
        <x:v>0.1</x:v>
      </x:c>
      <x:c r="F14" s="71" t="str">
        <x:f>IF(D14&lt;=E14,"OK","ERROR")</x:f>
        <x:v>OK</x:v>
      </x:c>
      <x:c r="G14" s="71"/>
      <x:c r="H14" s="71"/>
      <x:c r="I14" s="71"/>
      <x:c r="J14" s="71"/>
      <x:c r="K14" s="71"/>
    </x:row>
    <x:row r="15">
      <x:c r="A15" s="71"/>
      <x:c r="B15" s="71"/>
      <x:c r="C15" s="71" t="str">
        <x:v>PP&amp;E schedule</x:v>
      </x:c>
      <x:c r="D15" s="105" t="n">
        <x:f>MAX(ABS('Schedules'!G25-'Three Statements'!G33),ABS('Schedules'!H25-'Three Statements'!H33),ABS('Schedules'!I25-'Three Statements'!I33),ABS('Schedules'!J25-'Three Statements'!J33),ABS('Schedules'!K25-'Three Statements'!K33))</x:f>
        <x:v>0</x:v>
      </x:c>
      <x:c r="E15" s="105" t="n">
        <x:v>0.1</x:v>
      </x:c>
      <x:c r="F15" s="71" t="str">
        <x:f>IF(D15&lt;=E15,"OK","ERROR")</x:f>
        <x:v>OK</x:v>
      </x:c>
      <x:c r="G15" s="71"/>
      <x:c r="H15" s="71"/>
      <x:c r="I15" s="71"/>
      <x:c r="J15" s="71"/>
      <x:c r="K15" s="71"/>
    </x:row>
    <x:row r="16">
      <x:c r="A16" s="71"/>
      <x:c r="B16" s="71"/>
      <x:c r="C16" s="71" t="str">
        <x:v>Intangibles schedule</x:v>
      </x:c>
      <x:c r="D16" s="105" t="n">
        <x:f>MAX(ABS('Schedules'!G30-'Three Statements'!G32),ABS('Schedules'!H30-'Three Statements'!H32),ABS('Schedules'!I30-'Three Statements'!I32),ABS('Schedules'!J30-'Three Statements'!J32),ABS('Schedules'!K30-'Three Statements'!K32))</x:f>
        <x:v>0</x:v>
      </x:c>
      <x:c r="E16" s="105" t="n">
        <x:v>0.1</x:v>
      </x:c>
      <x:c r="F16" s="71" t="str">
        <x:f>IF(D16&lt;=E16,"OK","ERROR")</x:f>
        <x:v>OK</x:v>
      </x:c>
      <x:c r="G16" s="71"/>
      <x:c r="H16" s="71"/>
      <x:c r="I16" s="71"/>
      <x:c r="J16" s="71"/>
      <x:c r="K16" s="71"/>
    </x:row>
    <x:row r="17">
      <x:c r="A17" s="71"/>
      <x:c r="B17" s="71"/>
      <x:c r="C17" s="71" t="str">
        <x:v>Scenario selector validity</x:v>
      </x:c>
      <x:c r="D17" s="105" t="n">
        <x:f>IF(AND('Assumptions'!D8&gt;=1,'Assumptions'!D8&lt;=3),0,1)</x:f>
        <x:v>0</x:v>
      </x:c>
      <x:c r="E17" s="105" t="n">
        <x:v>0.1</x:v>
      </x:c>
      <x:c r="F17" s="71" t="str">
        <x:f>IF(D17&lt;=E17,"OK","ERROR")</x:f>
        <x:v>OK</x:v>
      </x:c>
      <x:c r="G17" s="71"/>
      <x:c r="H17" s="71"/>
      <x:c r="I17" s="71"/>
      <x:c r="J17" s="71"/>
      <x:c r="K17" s="71"/>
    </x:row>
    <x:row r="18">
      <x:c r="A18" s="71"/>
      <x:c r="B18" s="71"/>
      <x:c r="C18" s="71"/>
      <x:c r="D18" s="71"/>
      <x:c r="E18" s="71"/>
      <x:c r="F18" s="71"/>
      <x:c r="G18" s="71"/>
      <x:c r="H18" s="71"/>
      <x:c r="I18" s="71"/>
      <x:c r="J18" s="71"/>
      <x:c r="K18" s="71"/>
    </x:row>
    <x:row r="19">
      <x:c r="A19" s="71"/>
      <x:c r="B19" s="71"/>
      <x:c r="C19" s="71"/>
      <x:c r="D19" s="71"/>
      <x:c r="E19" s="71"/>
      <x:c r="F19" s="71"/>
      <x:c r="G19" s="71"/>
      <x:c r="H19" s="71"/>
      <x:c r="I19" s="71"/>
      <x:c r="J19" s="71"/>
      <x:c r="K19" s="71"/>
    </x:row>
    <x:row r="20">
      <x:c r="A20" s="71"/>
      <x:c r="B20" s="71"/>
      <x:c r="C20" s="124" t="str">
        <x:v>Master model status</x:v>
      </x:c>
      <x:c r="D20" s="124" t="str">
        <x:f>IF(COUNTIF(F7:F17,"ERROR")=0,"MODEL OK","MODEL ERROR")</x:f>
        <x:v>MODEL OK</x:v>
      </x:c>
      <x:c r="E20" s="71"/>
      <x:c r="F20" s="71"/>
      <x:c r="G20" s="71"/>
      <x:c r="H20" s="71"/>
      <x:c r="I20" s="71"/>
      <x:c r="J20" s="71"/>
      <x:c r="K20" s="71"/>
    </x:row>
    <x:row r="21">
      <x:c r="A21" s="71"/>
      <x:c r="B21" s="71"/>
      <x:c r="C21" s="71"/>
      <x:c r="D21" s="71"/>
      <x:c r="E21" s="71"/>
      <x:c r="F21" s="71"/>
      <x:c r="G21" s="71"/>
      <x:c r="H21" s="71"/>
      <x:c r="I21" s="71"/>
      <x:c r="J21" s="71"/>
      <x:c r="K21" s="71"/>
    </x:row>
    <x:row r="22">
      <x:c r="A22" s="71"/>
      <x:c r="B22" s="71"/>
      <x:c r="C22" s="71"/>
      <x:c r="D22" s="71"/>
      <x:c r="E22" s="71"/>
      <x:c r="F22" s="71"/>
      <x:c r="G22" s="71"/>
      <x:c r="H22" s="71"/>
      <x:c r="I22" s="71"/>
      <x:c r="J22" s="71"/>
      <x:c r="K22" s="71"/>
    </x:row>
    <x:row r="23">
      <x:c r="A23" s="71"/>
      <x:c r="B23" s="71"/>
      <x:c r="C23" s="71"/>
      <x:c r="D23" s="71"/>
      <x:c r="E23" s="71"/>
      <x:c r="F23" s="71"/>
      <x:c r="G23" s="71"/>
      <x:c r="H23" s="71"/>
      <x:c r="I23" s="71"/>
      <x:c r="J23" s="71"/>
      <x:c r="K23" s="71"/>
    </x:row>
    <x:row r="24">
      <x:c r="A24" s="71"/>
      <x:c r="B24" s="71"/>
      <x:c r="C24" s="71"/>
      <x:c r="D24" s="71"/>
      <x:c r="E24" s="71"/>
      <x:c r="F24" s="71"/>
      <x:c r="G24" s="71"/>
      <x:c r="H24" s="71"/>
      <x:c r="I24" s="71"/>
      <x:c r="J24" s="71"/>
      <x:c r="K24" s="71"/>
    </x:row>
  </x:sheetData>
  <x:conditionalFormatting sqref="F7:F17">
    <x:cfRule type="containsText" dxfId="0" priority="1" operator="containsText" text="ERROR"/>
    <x:cfRule type="containsText" dxfId="1" priority="2" operator="containsText" text="OK"/>
  </x:conditionalFormatting>
  <x:conditionalFormatting sqref="D20:D20">
    <x:cfRule type="containsText" dxfId="2" priority="3" operator="containsText" text="ERROR"/>
    <x:cfRule type="containsText" dxfId="3" priority="4" operator="containsText" text="OK"/>
  </x:conditionalFormatting>
  <x:pageMargins left="0.7" right="0.7" top="0.75" bottom="0.75" header="0.3" footer="0.3"/>
</x:worksheet>
</file>